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GAZPROM-NEFT.LOCAL\dfs\Газпром нефть\Папки пользователей\Личные папки П10\muratov.if\Desktop\УБД\"/>
    </mc:Choice>
  </mc:AlternateContent>
  <bookViews>
    <workbookView xWindow="-105" yWindow="-105" windowWidth="23250" windowHeight="12450" activeTab="3"/>
  </bookViews>
  <sheets>
    <sheet name="ННГ" sheetId="1" r:id="rId1"/>
    <sheet name="СН-МНГ" sheetId="2" r:id="rId2"/>
    <sheet name="Свод Рпл" sheetId="3" r:id="rId3"/>
    <sheet name="Свод моделей Мегион" sheetId="4" r:id="rId4"/>
  </sheets>
  <definedNames>
    <definedName name="_xlnm._FilterDatabase" localSheetId="0" hidden="1">ННГ!$A$1:$D$96</definedName>
    <definedName name="_xlnm._FilterDatabase" localSheetId="2" hidden="1">'Свод Рпл'!$A$1:$I$177</definedName>
    <definedName name="_xlnm._FilterDatabase" localSheetId="1" hidden="1">'СН-МНГ'!$A$1:$J$25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" l="1"/>
  <c r="I25" i="2"/>
  <c r="H25" i="2"/>
  <c r="J24" i="2"/>
  <c r="I24" i="2"/>
  <c r="H24" i="2"/>
  <c r="J23" i="2"/>
  <c r="I23" i="2"/>
  <c r="H23" i="2"/>
  <c r="J21" i="2"/>
  <c r="I21" i="2"/>
  <c r="H21" i="2"/>
  <c r="J20" i="2"/>
  <c r="I20" i="2"/>
  <c r="H20" i="2"/>
  <c r="J19" i="2"/>
  <c r="I19" i="2"/>
  <c r="H19" i="2"/>
  <c r="J17" i="2"/>
  <c r="I17" i="2"/>
  <c r="H17" i="2"/>
  <c r="J16" i="2"/>
  <c r="I16" i="2"/>
  <c r="H16" i="2"/>
  <c r="J15" i="2"/>
  <c r="I15" i="2"/>
  <c r="H15" i="2"/>
  <c r="J13" i="2"/>
  <c r="I13" i="2"/>
  <c r="H13" i="2"/>
  <c r="J12" i="2"/>
  <c r="I12" i="2"/>
  <c r="H12" i="2"/>
  <c r="J11" i="2"/>
  <c r="I11" i="2"/>
  <c r="H11" i="2"/>
  <c r="J9" i="2"/>
  <c r="I9" i="2"/>
  <c r="H9" i="2"/>
  <c r="J8" i="2"/>
  <c r="I8" i="2"/>
  <c r="H8" i="2"/>
  <c r="J7" i="2"/>
  <c r="I7" i="2"/>
  <c r="H7" i="2"/>
  <c r="J96" i="1"/>
  <c r="I96" i="1"/>
  <c r="H96" i="1"/>
  <c r="J87" i="1"/>
  <c r="I87" i="1"/>
  <c r="H87" i="1"/>
  <c r="J84" i="1"/>
  <c r="I84" i="1"/>
  <c r="H84" i="1"/>
  <c r="J76" i="1"/>
  <c r="I76" i="1"/>
  <c r="H76" i="1"/>
  <c r="J72" i="1"/>
  <c r="I72" i="1"/>
  <c r="H72" i="1"/>
  <c r="J66" i="1"/>
  <c r="I66" i="1"/>
  <c r="H66" i="1"/>
  <c r="J64" i="1"/>
  <c r="I64" i="1"/>
  <c r="H64" i="1"/>
  <c r="J57" i="1"/>
  <c r="I57" i="1"/>
  <c r="H57" i="1"/>
  <c r="J53" i="1"/>
  <c r="I53" i="1"/>
  <c r="H53" i="1"/>
  <c r="J49" i="1"/>
  <c r="I49" i="1"/>
  <c r="H49" i="1"/>
  <c r="J47" i="1"/>
  <c r="I47" i="1"/>
  <c r="H47" i="1"/>
  <c r="J44" i="1"/>
  <c r="I44" i="1"/>
  <c r="H44" i="1"/>
  <c r="Q43" i="1"/>
  <c r="R38" i="1"/>
  <c r="R37" i="1"/>
  <c r="J37" i="1"/>
  <c r="I37" i="1"/>
  <c r="H37" i="1"/>
  <c r="R35" i="1"/>
  <c r="R34" i="1"/>
  <c r="R33" i="1"/>
  <c r="J33" i="1"/>
  <c r="I33" i="1"/>
  <c r="H33" i="1"/>
  <c r="R31" i="1"/>
  <c r="R30" i="1"/>
  <c r="R29" i="1"/>
  <c r="R27" i="1"/>
  <c r="J27" i="1"/>
  <c r="I27" i="1"/>
  <c r="H27" i="1"/>
  <c r="R26" i="1"/>
  <c r="R25" i="1"/>
  <c r="J25" i="1"/>
  <c r="I25" i="1"/>
  <c r="H25" i="1"/>
  <c r="R23" i="1"/>
  <c r="R22" i="1"/>
  <c r="R21" i="1"/>
  <c r="J21" i="1"/>
  <c r="I21" i="1"/>
  <c r="H21" i="1"/>
  <c r="R19" i="1"/>
  <c r="R18" i="1"/>
  <c r="R17" i="1"/>
  <c r="J17" i="1"/>
  <c r="I17" i="1"/>
  <c r="H17" i="1"/>
  <c r="R15" i="1"/>
  <c r="R14" i="1"/>
  <c r="R13" i="1"/>
  <c r="J13" i="1"/>
  <c r="I13" i="1"/>
  <c r="H13" i="1"/>
  <c r="R11" i="1"/>
  <c r="R10" i="1"/>
  <c r="R9" i="1"/>
  <c r="J9" i="1"/>
  <c r="I9" i="1"/>
  <c r="H9" i="1"/>
  <c r="R7" i="1"/>
  <c r="R6" i="1"/>
  <c r="R5" i="1"/>
  <c r="J5" i="1"/>
  <c r="I5" i="1"/>
  <c r="H5" i="1"/>
  <c r="R3" i="1"/>
</calcChain>
</file>

<file path=xl/sharedStrings.xml><?xml version="1.0" encoding="utf-8"?>
<sst xmlns="http://schemas.openxmlformats.org/spreadsheetml/2006/main" count="964" uniqueCount="333">
  <si>
    <t>Месторождение</t>
  </si>
  <si>
    <t>Вариант сценария</t>
  </si>
  <si>
    <t>Количество кандидиатов ППД</t>
  </si>
  <si>
    <t>Ссылка на сценарий (01.04.2026)</t>
  </si>
  <si>
    <t>Накоп.добыча нефти (1 год), т</t>
  </si>
  <si>
    <t>Накоп.добыча нефти (3 года), т</t>
  </si>
  <si>
    <t>Накоп.добыча нефти (5 лет), т</t>
  </si>
  <si>
    <t>ДД за 1 год, т</t>
  </si>
  <si>
    <t>ДД за 3 года, т</t>
  </si>
  <si>
    <t>ДД за 5 лет, т</t>
  </si>
  <si>
    <t>Актуализированный (01.07,2026)</t>
  </si>
  <si>
    <t>Карамовское</t>
  </si>
  <si>
    <t>База</t>
  </si>
  <si>
    <t>ГИМА 14804 Карамовское БАЗА Const прогноз 01.04.2026 до 01.01.2033</t>
  </si>
  <si>
    <t>ГИМА 15973 Карамовское БАЗА Const прогноз 01.07.2026 до 01.01.2033</t>
  </si>
  <si>
    <t>кандидаты ДО</t>
  </si>
  <si>
    <t>ГИМА 16099 Карамовское программа ДО Const прогноз 01.07.2026 до 01.01.2033</t>
  </si>
  <si>
    <t>Вынгапуровское</t>
  </si>
  <si>
    <t>маппинг со спекторм отклоненных кандидатов</t>
  </si>
  <si>
    <t>СПекТР</t>
  </si>
  <si>
    <t>ГИМА 16071 Карамовское БАЗА Const прогноз 01.07.2026 до 01.01.2033 СПЕКТР</t>
  </si>
  <si>
    <t>Все кандидаты+УБД</t>
  </si>
  <si>
    <t>ГИМА 16145 Карамовское программа ДО Const прогноз 01.07.2026 до 01.01.2033 все кандидаты</t>
  </si>
  <si>
    <t>Валынтойское</t>
  </si>
  <si>
    <t>Вынгаяхинское</t>
  </si>
  <si>
    <t>ГИМА 14713 Вынгаяхинское БАЗА Const МЭР 01.04.2026 до 01.01.2033</t>
  </si>
  <si>
    <t>ГИМА 16033 Вынгаяхинское БАЗА Const МЭР 01.07.2026 до 01.01.2033</t>
  </si>
  <si>
    <t>Восточно-Пякутинское</t>
  </si>
  <si>
    <t>Спорышевское</t>
  </si>
  <si>
    <t>Направить все кандидаты на Деменева утв СПекТР+ДО</t>
  </si>
  <si>
    <t>ГИМА 16100 Вынгаяхинское БАЗА Const МЭР 01.07.2026 до 01.01.2033 программа ДО</t>
  </si>
  <si>
    <t>ГИМА 16072 Вынгаяхинское БАЗА Const МЭР 01.07.2026 до 01.01.2033 СПекТР</t>
  </si>
  <si>
    <t>ГИМА 16147 Вынгаяхинское БАЗА Const МЭР 01.07.2026 до 01.01.2033 все кандидаты</t>
  </si>
  <si>
    <t>Крайнее</t>
  </si>
  <si>
    <t>ГИМА 14705 СПОРЫШЕВСКОЕ БАЗА Const прогноз до 01.01.2051_ без dPShift</t>
  </si>
  <si>
    <t>ГИМА 16034 Спорышевское_072026(актуализация)</t>
  </si>
  <si>
    <t>Малопякутинское</t>
  </si>
  <si>
    <t>Суторминское</t>
  </si>
  <si>
    <t>Муравленковское</t>
  </si>
  <si>
    <t>Еты-Пуровское</t>
  </si>
  <si>
    <t>ГИМА 16073 Спорышевское_072026(актуализация) СПекТР</t>
  </si>
  <si>
    <t>ГИМА 16140 Спорышевское_072026(актуализация) СПекТР+УБД</t>
  </si>
  <si>
    <t>Умсейское+Южно-Пурпейское</t>
  </si>
  <si>
    <t>Западно-Чатылькинское</t>
  </si>
  <si>
    <t>ГИМА 14719 Вынгапуровское БАЗА const с 01.04.2026</t>
  </si>
  <si>
    <t>ГИМА 16037 Вынгапурское актуализация 01.07.2026</t>
  </si>
  <si>
    <t>Воргенское</t>
  </si>
  <si>
    <t>Романовское</t>
  </si>
  <si>
    <t>ГИМА 16101 Вынгапурское актуализация 01.07.2026 программа ДО</t>
  </si>
  <si>
    <t>Северо-Янгтинское</t>
  </si>
  <si>
    <t>ГИМА 16078 Вынгапурское актуализация 01.07.2026 СПекТР</t>
  </si>
  <si>
    <t>https://ima.apps.paas.gazprom-neft.local/assetr/scenarios/16164/layer/results-redesigned</t>
  </si>
  <si>
    <t>Отдельное</t>
  </si>
  <si>
    <t>ГИМА 14721 Крайнее изолированный Б6к Конст БАЗА без dPShift с 01.04.2026</t>
  </si>
  <si>
    <t>ГИМА 15978 Крайнее изолированный Б6к Конст БАЗА без dPShift с 01.07.2026</t>
  </si>
  <si>
    <t>Холмогорское</t>
  </si>
  <si>
    <t>ГИМА 16103 Крайнее изолированный Б6к Конст с 01.07.2026 программа ДО</t>
  </si>
  <si>
    <t>Новогоднее</t>
  </si>
  <si>
    <t>ГИМА 16079 Крайнее изолированный Б6к Конст БАЗА без dPShift с 01.07.2026 СПекТР</t>
  </si>
  <si>
    <t>ГИМА 16149 Крайнее изолированный Б6к Конст без dPShift с 01.07.2026 все кандидаты</t>
  </si>
  <si>
    <t>Ярайнерское</t>
  </si>
  <si>
    <t>Сугмутское</t>
  </si>
  <si>
    <t>ГИМА 14720 База КПРА Суторма без dPShift с 01.04.2026</t>
  </si>
  <si>
    <t>ГИМА 16047 Суторминское тест 50 База ИР</t>
  </si>
  <si>
    <t>Новое</t>
  </si>
  <si>
    <t>ГИМА 16104 Суторминское 01.07.2026 программа ДО</t>
  </si>
  <si>
    <t>ГИМА 16080 Суторминское 01.07.2026 СПекТР</t>
  </si>
  <si>
    <t>ГИМА 16150 Суторминское 01.07.2025 все кандидаты</t>
  </si>
  <si>
    <t>ГИМА 14723 Еты-Пуровское 04.2026 БАЗА КОНСТ без dPShift</t>
  </si>
  <si>
    <t>ГИМА 16040 Еты-Пуровское 07.2026 БАЗА КОНСТ без dPShift</t>
  </si>
  <si>
    <t>Средне-Итурское</t>
  </si>
  <si>
    <t>ГИМА 16153 Еты-Пуровское 07.2026 КОНСТ без dPShift программа ДО</t>
  </si>
  <si>
    <t>ГИМА 16152 Еты-Пуровское 07.2026 БАЗА КОНСТ без dPShift СПекТР</t>
  </si>
  <si>
    <t>ГИМА 16151 Еты-Пуровское 07.2026 КОНСТ без dPShift все кандидаты</t>
  </si>
  <si>
    <t>ГИМА 14728 Западно-Чатылькинское БАЗА Const МЭР до 01.01.2051 без dPShift</t>
  </si>
  <si>
    <t>ГИМА 15981 Западно-Чатылькинское БАЗА Const МЭР с 07.26 до 01.01.2032 c dPShift</t>
  </si>
  <si>
    <t xml:space="preserve">Средне-Итурское </t>
  </si>
  <si>
    <t>Северо-Пямалияхское</t>
  </si>
  <si>
    <t>ГИМА 16105 Западно-Чатылькинское БАЗА Const МЭР с 07.26 до 01.01.2032 c dPShift программа ДО</t>
  </si>
  <si>
    <t>ГИМА 16083 Западно-Чатылькинское БАЗА Const МЭР с 07.26 до 01.01.2032 c dPShift СПекТР</t>
  </si>
  <si>
    <t>ГИМА 16154 Западно-Чатылькинское Const МЭР с 07.26 до 01.01.2032 c dPShift все кандидаты</t>
  </si>
  <si>
    <t xml:space="preserve">Пограничное </t>
  </si>
  <si>
    <t>Чатылькинское</t>
  </si>
  <si>
    <t>ГИМА 14726 Романовское БАЗА Const МЭР до 01.01.2051 без dPShift</t>
  </si>
  <si>
    <t>ГИМА 15982 Романовское БАЗА Const МЭР с 07.26 до 01.01.2032 с dPShift</t>
  </si>
  <si>
    <t xml:space="preserve"> </t>
  </si>
  <si>
    <t xml:space="preserve">Холмистое </t>
  </si>
  <si>
    <t>Пограничное</t>
  </si>
  <si>
    <t>ГИМА 16107 Романовское БАЗА Const МЭР с 07.26 до 01.01.2032 с dPShift программа ДО</t>
  </si>
  <si>
    <t>ГИМА 16084 Романовское БАЗА Const МЭР с 07.26 до 01.01.2032 с dPShift СПекТР</t>
  </si>
  <si>
    <t>ГИМА 16155 Романовское БАЗА Const МЭР с 07.26 до 01.01.2032 с dPShift все кандидаты</t>
  </si>
  <si>
    <t xml:space="preserve">Чатылькинское </t>
  </si>
  <si>
    <t>ГИМА 14744 Северо-Янгтинское БАЗА Const МЭР до 01.01.2051 без dPShift</t>
  </si>
  <si>
    <t>ГИМА 15983 Северо-Янгтинское БАЗА Const МЭР с 07.26 до 01.01.2033 с dPShift</t>
  </si>
  <si>
    <t xml:space="preserve">Южно-Ноябрьское </t>
  </si>
  <si>
    <t>ГИМА 16085 Северо-Янгтинское БАЗА Const МЭР с 07.26 до 01.01.2033 с dPShift Программа ДО</t>
  </si>
  <si>
    <t>ГИМА 14785 Северо-Янгтинское ВСЕ КАНДИДАТЫ Const МЭР до 01.01.2051 без dPShift</t>
  </si>
  <si>
    <t>ГИМА 14749 Отдельное с 01.04.2026 База</t>
  </si>
  <si>
    <t>ГИМА 15986 Отдельное с 01.07.2026 База</t>
  </si>
  <si>
    <t>ГИМА 16086 Отдельное с 01.07.2026 СПекТР</t>
  </si>
  <si>
    <t>ГИМА 14727 Холмогорское_v2 КПРА БАЗА без dPSift</t>
  </si>
  <si>
    <t>ГИМА 15987 Холмогорское_v2 КПРА БАЗА c dPShift</t>
  </si>
  <si>
    <t>ГИМА 14732 Холмогорское_v2 КПРА БАЗА консолидированный</t>
  </si>
  <si>
    <t>ГИМА 14799 Холмогорское_v2 КПРА ВСЕ КАНДИДАТЫ без dPSift</t>
  </si>
  <si>
    <t>ГИМА 120 Новогоднее БАЗА</t>
  </si>
  <si>
    <t>ГИМА 16046 Новогоднее актуализация 01.07.2026</t>
  </si>
  <si>
    <t>ГИМА 16088 Новогоднее актуализация 01.07.2026 СПекТР</t>
  </si>
  <si>
    <t>ГИМА 16156 Новогоднее актуализация 01.07.2026 все кандидаты</t>
  </si>
  <si>
    <t>ГИМА 14724 Сугмутское БАЗА CONST!!! МЭР без dPShift</t>
  </si>
  <si>
    <t>ГИМА 15988 Сугмутское БАЗА CONST!!! МЭР с dPShift</t>
  </si>
  <si>
    <t>ГИМА 14739 Сугмутское консолидированный</t>
  </si>
  <si>
    <t>ГИМА 16089 Сугмутское CONST МЭР с dPShift СПекТР</t>
  </si>
  <si>
    <t>ГИМА 14786 Сугмутское ВСЕ КАНДИДАТЫ CONST!!! МЭР без dPShift</t>
  </si>
  <si>
    <t>ГИМА 16142 Сугмутское CONST МЭР с dPShift СПекТР+УБД</t>
  </si>
  <si>
    <t>ГИМА 14725 Муравленковское актуализация 01.03.2026 БАЗА без dPShift</t>
  </si>
  <si>
    <t>ГИМА 15989 Муравленковское актуализация 01.07.2026 БАЗА с dPShift</t>
  </si>
  <si>
    <t>можно забить, переводов нет</t>
  </si>
  <si>
    <t>ГИМА 14694 Восточно-Пякутинское 04.2026 актуализация БАЗА без dPShift</t>
  </si>
  <si>
    <t>ГИМА 14694 Восточно-Пякутинское 07.2026 актуализация БАЗА с dPShift</t>
  </si>
  <si>
    <t>ГИМА 14791 Восточно-Пякутинское 04.2026 актуализация ВСЕ КАНДИДАТЫ без dPShift</t>
  </si>
  <si>
    <t>ГИМА 14745 Новое актуализация 01.04.2026 v4 БАЗА без dPShift</t>
  </si>
  <si>
    <t>ГИМА 15991 Новое актуализация 01.07.2026 v4 БАЗА с dPShift</t>
  </si>
  <si>
    <t>ГИМА 14746 Новое актуализация 01.04.2026 консолидированный</t>
  </si>
  <si>
    <t>ГИМА 16091 Новое актуализация 01.07.2026 программа ДО</t>
  </si>
  <si>
    <t>ГИМА 14696 Средне-Итурское Б6к 04.2026 [актуализация] БАЗА без dPShift</t>
  </si>
  <si>
    <t>ГИМА 15992 Средне-Итурское Б6к 07.2026 [актуализация] БАЗА c dPShift</t>
  </si>
  <si>
    <t>ГИМА 16092 Средне-Итурское Б6к 07.2026 [актуализация] СПекТР c dPShift</t>
  </si>
  <si>
    <t>ГИМА 16141 Средне-Итурское Б6к 07.2026 [актуализация] СПекТР+УБД c dPShift</t>
  </si>
  <si>
    <t>ГИМА 14730 2 Ярайнерское_Актуализация_01.04.2026_ЧащинМА БАЗА без dPShift</t>
  </si>
  <si>
    <t>ГИМА 15993 2 Ярайнерское_Актуализация_01.07.2026_ЧащинМА БАЗА c dPShift</t>
  </si>
  <si>
    <t>ГИМА 14812 2 Ярайнерское_Актуализация_01.04.2026_ЧащинМА ВСЕ КАНДИДАТЫ без dPShift</t>
  </si>
  <si>
    <t>ГИМА 16093 2 Ярайнерское_Актуализация_01.07.2026_ЧащинМА УБД</t>
  </si>
  <si>
    <t>ГИМА 14755 Умсейcкое 01.04.2026 (актуализация) БАЗА без dPShift</t>
  </si>
  <si>
    <t>ГИМА 15994 Умсейcкое 01.07.2026 (актуализация) БАЗА c dPShift</t>
  </si>
  <si>
    <t>ГИМА 14760 Северо-Пямалияхское Б6к 04_2026 [актуализация] БАЗА без dPShift</t>
  </si>
  <si>
    <t>ГИМА 15995 Северо-Пямалияхское Б6к 07_2026 [актуализация] БАЗА c dPShift</t>
  </si>
  <si>
    <t>ГИМА 16139 Северо-Пямалияхское Б6к 07_2026 [актуализация] УБД c dPShift</t>
  </si>
  <si>
    <t>ГИМА 14761 Валынтойское Б6к 04.2026 [актуализация] БАЗА без dPShift</t>
  </si>
  <si>
    <t>ГИМА 15996 Валынтойское Б6к 07.2026 [актуализация] БАЗА c dPShift</t>
  </si>
  <si>
    <t>ГИМА 16096 Валынтойское Б6к 07.2026 [актуализация] СПекТР c dPShift</t>
  </si>
  <si>
    <t>ГИМА 14795 Валынтойское Б6к 04.2026 [актуализация] ВСЕ КАНДИДАТЫ без dPShift</t>
  </si>
  <si>
    <t>ГИМА 14742 тест Чатликинское</t>
  </si>
  <si>
    <t>ГИМА 15997 Чатликинское База с 07.2026</t>
  </si>
  <si>
    <t>почему-то включаются некоторые нагнеталки на прогноз</t>
  </si>
  <si>
    <t>ГИМА 14743 Пограничное 01.2026 актуализация</t>
  </si>
  <si>
    <t>ГИМА 15998 Пограничное 07.2026 база</t>
  </si>
  <si>
    <t>ГИМА 14770 Пограничное 04.2026 все кандидаты</t>
  </si>
  <si>
    <t>Ссылка на сценарий (01.07.2026)</t>
  </si>
  <si>
    <t>Мегионское</t>
  </si>
  <si>
    <t>https://ima.apps.paas.gazprom-neft.local/assetr/scenarios/16161/config</t>
  </si>
  <si>
    <t>ГИМА 16205 Мегионское БВ8 - кандидаты ДО</t>
  </si>
  <si>
    <t>https://ima.apps.paas.gazprom-neft.local/assetr/scenarios/16175/layer/manual-events</t>
  </si>
  <si>
    <t>Все кандидаты + УБД</t>
  </si>
  <si>
    <t>ГИМА 16204 Мегионское БВ8 - все кандидаты ППД</t>
  </si>
  <si>
    <t>Северо-Покурское</t>
  </si>
  <si>
    <t>https://ima.apps.paas.gazprom-neft.local/assetr/scenarios/16159/layer/manual-events</t>
  </si>
  <si>
    <t>ГИМА 16211 Северо-Покурское кандидаты ДО</t>
  </si>
  <si>
    <t>https://ima.apps.paas.gazprom-neft.local/assetr/scenarios/16176/layer/manual-events</t>
  </si>
  <si>
    <t>ГИМА 16210 Северо-Покурское УБД - все кандидаты</t>
  </si>
  <si>
    <t>Аганское</t>
  </si>
  <si>
    <t>https://ima.apps.paas.gazprom-neft.local/assetr/scenarios/16158/layer/results-redesigned</t>
  </si>
  <si>
    <t>ГИМА 16213 Аганское УБД кандидаты ДО</t>
  </si>
  <si>
    <t>https://ima.apps.paas.gazprom-neft.local/assetr/scenarios/16179/layer/manual-events</t>
  </si>
  <si>
    <t>ГИМА 16212 Аганское УБД кандидаты УБД</t>
  </si>
  <si>
    <t>Ватинское</t>
  </si>
  <si>
    <t>https://ima.apps.paas.gazprom-neft.local/assetr/scenarios/16160/layer/results-redesigned</t>
  </si>
  <si>
    <t>ГИМА 16209 Ватинское кандидаты УБД</t>
  </si>
  <si>
    <t>https://ima.apps.paas.gazprom-neft.local/assetr/scenarios/16180/layer/b6k-adaptation-wells</t>
  </si>
  <si>
    <t>ГИМА 16208 Ватинское кандидаты УБД</t>
  </si>
  <si>
    <t>ЗУБ</t>
  </si>
  <si>
    <t>https://ima.apps.paas.gazprom-neft.local/assetr/scenarios/16045/config</t>
  </si>
  <si>
    <t>https://ima.apps.paas.gazprom-neft.local/assetr/scenarios/16181/config</t>
  </si>
  <si>
    <t>https://ima.apps.paas.gazprom-neft.local/assetr/scenarios/16177/layer/results-redesigned</t>
  </si>
  <si>
    <t>https://ima.apps.paas.gazprom-neft.local/assetr/scenarios/16185/layer/manual-events</t>
  </si>
  <si>
    <t>Тайлаковское</t>
  </si>
  <si>
    <t>https://ima.apps.paas.gazprom-neft.local/assetr/scenarios/16044/config</t>
  </si>
  <si>
    <t>https://ima.apps.paas.gazprom-neft.local/assetr/scenarios/16182/config</t>
  </si>
  <si>
    <t>https://ima.apps.paas.gazprom-neft.local/assetr/scenarios/16178/layer/b6k-input/layerCode/20dd2dfe-de89-4557-0f3a-e5c7b9e16e13</t>
  </si>
  <si>
    <t>ГИМА 16203 Тайлаковское кандидаты УБД все кандидаты</t>
  </si>
  <si>
    <t>ДО</t>
  </si>
  <si>
    <t>Пласт</t>
  </si>
  <si>
    <t>Рпл начальное, атм</t>
  </si>
  <si>
    <t>Рпл текущее на момент старта прогноза, перед переводом в ППД (01.06.2026), атм</t>
  </si>
  <si>
    <t>Рпл на конец расчёта в базовом варианте (01.07.2031), атм</t>
  </si>
  <si>
    <t>Рпл на конец прогноза в варианте с учетом ППД (01.07.2031), атм</t>
  </si>
  <si>
    <t>Компенсация на начало прогноза в базовом варианте (01.07.2026), %</t>
  </si>
  <si>
    <t>Компенсация на начало прогноза в варианте с учетом ППД (01.07.2026), %</t>
  </si>
  <si>
    <t>ННГ</t>
  </si>
  <si>
    <t>ЮС2</t>
  </si>
  <si>
    <t>БС16-2</t>
  </si>
  <si>
    <t>Умсейcкое</t>
  </si>
  <si>
    <t xml:space="preserve">Валынтойское </t>
  </si>
  <si>
    <t>СН-МНГ</t>
  </si>
  <si>
    <t>Западно-Усть-Балыкское</t>
  </si>
  <si>
    <t>Вынгапурское</t>
  </si>
  <si>
    <t>Пласт 1БП11</t>
  </si>
  <si>
    <t>Пласт АВ1/3</t>
  </si>
  <si>
    <t>Пласт АВ4</t>
  </si>
  <si>
    <t>Пласт БВ17-21</t>
  </si>
  <si>
    <t>Пласт БВ6</t>
  </si>
  <si>
    <t>Пласт БВ8</t>
  </si>
  <si>
    <t>Пласт БВ9</t>
  </si>
  <si>
    <t>Пласт ЮВ1/1</t>
  </si>
  <si>
    <t>Пласт Ю1</t>
  </si>
  <si>
    <t>Пласт АВ6</t>
  </si>
  <si>
    <t>Пласт БВ19-22</t>
  </si>
  <si>
    <t>Пласт ЮВ1</t>
  </si>
  <si>
    <t>Пласт 1БС10</t>
  </si>
  <si>
    <t>Пласт 3БС10</t>
  </si>
  <si>
    <t>Пласт БС8</t>
  </si>
  <si>
    <t>Пласт АВ9/2</t>
  </si>
  <si>
    <t>Пласт АЧ0/2</t>
  </si>
  <si>
    <t>Пласт АЧ0/3-1</t>
  </si>
  <si>
    <t>Пласт БВ2-2</t>
  </si>
  <si>
    <t>Пласт БВ2/0</t>
  </si>
  <si>
    <t>Пласт БВ2/0-1</t>
  </si>
  <si>
    <t>Пласт БВ2/1</t>
  </si>
  <si>
    <t>Пласт БВ3</t>
  </si>
  <si>
    <t>Пласт БВ5</t>
  </si>
  <si>
    <t>Пласт БВ5/0-1</t>
  </si>
  <si>
    <t>Пласт БВ7</t>
  </si>
  <si>
    <t>Пласт БВ7/3</t>
  </si>
  <si>
    <t>Пласт БВ8/1</t>
  </si>
  <si>
    <t>Пласт БВ8/2</t>
  </si>
  <si>
    <t>Пласт ПК21/1</t>
  </si>
  <si>
    <t>Пласт ПК22/2</t>
  </si>
  <si>
    <t>Пласт ЮВ1/1-2</t>
  </si>
  <si>
    <t>Пласт ЮВ1/2</t>
  </si>
  <si>
    <t>Пласт ЮВ2</t>
  </si>
  <si>
    <t>Пласт ЮВ3</t>
  </si>
  <si>
    <t>Пласт ЮВ4-5</t>
  </si>
  <si>
    <t>Пласт БП12</t>
  </si>
  <si>
    <t>Пласт БП16</t>
  </si>
  <si>
    <t>Пласт БП17</t>
  </si>
  <si>
    <t>Пласт Ю0</t>
  </si>
  <si>
    <t>Пласт 1Ю1</t>
  </si>
  <si>
    <t>Пласт 2БП9</t>
  </si>
  <si>
    <t>Пласт 2Ю1</t>
  </si>
  <si>
    <t>Пласт АП10</t>
  </si>
  <si>
    <t>Пласт АП11</t>
  </si>
  <si>
    <t>Пласт АП3</t>
  </si>
  <si>
    <t>Пласт АП4</t>
  </si>
  <si>
    <t>Пласт АП7</t>
  </si>
  <si>
    <t>Пласт БП10</t>
  </si>
  <si>
    <t>Пласт БП14</t>
  </si>
  <si>
    <t>Пласт БП2</t>
  </si>
  <si>
    <t>Пласт БП3</t>
  </si>
  <si>
    <t>Пласт БП4</t>
  </si>
  <si>
    <t>Пласт БП5</t>
  </si>
  <si>
    <t>Пласт БП6/7</t>
  </si>
  <si>
    <t>Пласт БП8</t>
  </si>
  <si>
    <t>Пласт БП9</t>
  </si>
  <si>
    <t>Пласт ПК12</t>
  </si>
  <si>
    <t>Пласт ПК14</t>
  </si>
  <si>
    <t>Пласт ПК21</t>
  </si>
  <si>
    <t>Пласт ПК7-1</t>
  </si>
  <si>
    <t>Пласт ПК9/1</t>
  </si>
  <si>
    <t>Пласт БС10</t>
  </si>
  <si>
    <t>Пласт ЮС2</t>
  </si>
  <si>
    <t>Пласт СГ1-2</t>
  </si>
  <si>
    <t>Пласт СГ5-7</t>
  </si>
  <si>
    <t>Пласт 2БС10</t>
  </si>
  <si>
    <t>Пласт АЧ1</t>
  </si>
  <si>
    <t>Пласт АЧ2</t>
  </si>
  <si>
    <t>Пласт БС11</t>
  </si>
  <si>
    <t>Пласт БС8/1</t>
  </si>
  <si>
    <t>Пласт БС9/1</t>
  </si>
  <si>
    <t>Пласт Ач4</t>
  </si>
  <si>
    <t>Пласт БС10/3-3</t>
  </si>
  <si>
    <t>Пласт БС10/3-4</t>
  </si>
  <si>
    <t>Пласт БС12/1</t>
  </si>
  <si>
    <t>Пласт АВ1</t>
  </si>
  <si>
    <t>Пласт АВ2</t>
  </si>
  <si>
    <t>Пласт АВ7</t>
  </si>
  <si>
    <t>Пласт АС11</t>
  </si>
  <si>
    <t>Пласт АС12</t>
  </si>
  <si>
    <t>Пласт АС4</t>
  </si>
  <si>
    <t>Пласт АС6</t>
  </si>
  <si>
    <t>Пласт АС8</t>
  </si>
  <si>
    <t>Пласт АС9</t>
  </si>
  <si>
    <t>Пласт БС0</t>
  </si>
  <si>
    <t>Пласт БС1</t>
  </si>
  <si>
    <t>Пласт БС10/0-1</t>
  </si>
  <si>
    <t>Пласт БС10/2</t>
  </si>
  <si>
    <t>Пласт БС5-6</t>
  </si>
  <si>
    <t>Пласт БС7</t>
  </si>
  <si>
    <t>Пласт ПК15</t>
  </si>
  <si>
    <t>Пласт ПК16</t>
  </si>
  <si>
    <t>Пласт ПК17/1</t>
  </si>
  <si>
    <t>Пласт ПК17/2</t>
  </si>
  <si>
    <t>Пласт ПК18</t>
  </si>
  <si>
    <t>Пласт ПК19</t>
  </si>
  <si>
    <t>Пласт ПК20</t>
  </si>
  <si>
    <t>Пласт ЮС1/1</t>
  </si>
  <si>
    <t>Пласт 2БС11</t>
  </si>
  <si>
    <t>Пласт БС12</t>
  </si>
  <si>
    <t>Пласт БС6</t>
  </si>
  <si>
    <t>Пласт БС8/2</t>
  </si>
  <si>
    <t>Пласт БС9</t>
  </si>
  <si>
    <t>Пласт ЮС1</t>
  </si>
  <si>
    <t>Пласт БС9/2</t>
  </si>
  <si>
    <t>Пласт 0Б9</t>
  </si>
  <si>
    <t>Пласт БС17(БС17-18)</t>
  </si>
  <si>
    <t>Пласт БС5</t>
  </si>
  <si>
    <t>Пласт Ю2</t>
  </si>
  <si>
    <t>Пласт Ю3</t>
  </si>
  <si>
    <t>Пласт БС17-1</t>
  </si>
  <si>
    <t>Пласт 1БС11</t>
  </si>
  <si>
    <t>Пласт АВ10-11</t>
  </si>
  <si>
    <t>Пласт АВ3</t>
  </si>
  <si>
    <t>Пласт АВ3-1</t>
  </si>
  <si>
    <t>Пласт АВ8</t>
  </si>
  <si>
    <t>Пласт АВ9</t>
  </si>
  <si>
    <t>Пласт БВ1</t>
  </si>
  <si>
    <t>Пласт БВ2</t>
  </si>
  <si>
    <t>Пласт БВ4-1</t>
  </si>
  <si>
    <t>Пласт ЮВ1-1</t>
  </si>
  <si>
    <t>Набор пластов</t>
  </si>
  <si>
    <t>Луговое</t>
  </si>
  <si>
    <t>Покомасовское</t>
  </si>
  <si>
    <t>З-Асомкинское</t>
  </si>
  <si>
    <t>Ачимовское</t>
  </si>
  <si>
    <t>Необходима валидация</t>
  </si>
  <si>
    <t>Актуализация</t>
  </si>
  <si>
    <t>Требуется</t>
  </si>
  <si>
    <t>Наличие карт НГЗ</t>
  </si>
  <si>
    <t>+</t>
  </si>
  <si>
    <t>Запросить</t>
  </si>
  <si>
    <t>Наличие карт Рпл</t>
  </si>
  <si>
    <t>Корректировка МЭР</t>
  </si>
  <si>
    <t>Исполнитель</t>
  </si>
  <si>
    <t>СРЗ 2.0</t>
  </si>
  <si>
    <t>Обучающие 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</si>
</sst>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name val="Calibri"/>
    </font>
    <font>
      <b/>
      <u/>
      <sz val="11"/>
      <color theme="10"/>
      <name val="Calibri"/>
      <scheme val="minor"/>
    </font>
    <font>
      <sz val="10"/>
      <color theme="1"/>
      <name val="Times New Roman"/>
    </font>
    <font>
      <u/>
      <sz val="11"/>
      <color indexed="2"/>
      <name val="Calibri"/>
      <scheme val="minor"/>
    </font>
    <font>
      <sz val="11"/>
      <color indexed="2"/>
      <name val="Calibri"/>
      <scheme val="minor"/>
    </font>
    <font>
      <u/>
      <sz val="11"/>
      <color theme="10"/>
      <name val="Calibri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theme="6" tint="0.59999389629810485"/>
      </patternFill>
    </fill>
    <fill>
      <patternFill patternType="solid">
        <fgColor indexed="5"/>
        <bgColor indexed="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/>
    <xf numFmtId="0" fontId="0" fillId="0" borderId="1" xfId="0" applyBorder="1"/>
    <xf numFmtId="0" fontId="1" fillId="0" borderId="0" xfId="1"/>
    <xf numFmtId="0" fontId="1" fillId="0" borderId="1" xfId="1" applyBorder="1"/>
    <xf numFmtId="0" fontId="0" fillId="0" borderId="3" xfId="0" applyBorder="1"/>
    <xf numFmtId="0" fontId="0" fillId="3" borderId="1" xfId="0" applyFill="1" applyBorder="1"/>
    <xf numFmtId="0" fontId="1" fillId="0" borderId="1" xfId="1" applyBorder="1" applyAlignment="1">
      <alignment vertical="center"/>
    </xf>
    <xf numFmtId="0" fontId="0" fillId="3" borderId="4" xfId="0" applyFill="1" applyBorder="1"/>
    <xf numFmtId="0" fontId="4" fillId="0" borderId="1" xfId="0" applyFont="1" applyBorder="1" applyAlignment="1">
      <alignment vertical="top"/>
    </xf>
    <xf numFmtId="0" fontId="5" fillId="0" borderId="0" xfId="1" applyFont="1"/>
    <xf numFmtId="0" fontId="6" fillId="0" borderId="0" xfId="0" applyFont="1"/>
    <xf numFmtId="1" fontId="0" fillId="3" borderId="1" xfId="0" applyNumberForma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a.apps.paas.gazprom-neft.local/assetr/scenarios/16073/layer/manual-events" TargetMode="External"/><Relationship Id="rId18" Type="http://schemas.openxmlformats.org/officeDocument/2006/relationships/hyperlink" Target="https://ima.apps.paas.gazprom-neft.local/assetr/scenarios/16078/layer/manual-events" TargetMode="External"/><Relationship Id="rId26" Type="http://schemas.openxmlformats.org/officeDocument/2006/relationships/hyperlink" Target="https://ima.apps.paas.gazprom-neft.local/assetr/scenarios/16047/layer/b6k-adaptation-layer" TargetMode="External"/><Relationship Id="rId39" Type="http://schemas.openxmlformats.org/officeDocument/2006/relationships/hyperlink" Target="https://ima.apps.paas.gazprom-neft.local/assetr/scenarios/16154/layer/manual-events" TargetMode="External"/><Relationship Id="rId21" Type="http://schemas.openxmlformats.org/officeDocument/2006/relationships/hyperlink" Target="https://ima.apps.paas.gazprom-neft.local/assetr/scenarios/15978/layer/results-redesigned" TargetMode="External"/><Relationship Id="rId34" Type="http://schemas.openxmlformats.org/officeDocument/2006/relationships/hyperlink" Target="https://ima.apps.paas.gazprom-neft.local/assetr/scenarios/16151/layer/manual-events" TargetMode="External"/><Relationship Id="rId42" Type="http://schemas.openxmlformats.org/officeDocument/2006/relationships/hyperlink" Target="https://ima.apps.paas.gazprom-neft.local/assetr/scenarios/16107/layer/manual-events" TargetMode="External"/><Relationship Id="rId47" Type="http://schemas.openxmlformats.org/officeDocument/2006/relationships/hyperlink" Target="https://ima.apps.paas.gazprom-neft.local/assetr/scenarios/16085/layer/manual-events" TargetMode="External"/><Relationship Id="rId50" Type="http://schemas.openxmlformats.org/officeDocument/2006/relationships/hyperlink" Target="https://ima.apps.paas.gazprom-neft.local/assetr/scenarios/15986/layer/results-redesigned" TargetMode="External"/><Relationship Id="rId55" Type="http://schemas.openxmlformats.org/officeDocument/2006/relationships/hyperlink" Target="https://ima.apps.paas.gazprom-neft.local/assetr/scenarios/14799/layer/manual-events" TargetMode="External"/><Relationship Id="rId63" Type="http://schemas.openxmlformats.org/officeDocument/2006/relationships/hyperlink" Target="https://ima.apps.paas.gazprom-neft.local/assetr/scenarios/16089/layer/manual-events" TargetMode="External"/><Relationship Id="rId68" Type="http://schemas.openxmlformats.org/officeDocument/2006/relationships/hyperlink" Target="https://ima.apps.paas.gazprom-neft.local/assetr/scenarios/14694/layer/b6k-adaptation-layer" TargetMode="External"/><Relationship Id="rId76" Type="http://schemas.openxmlformats.org/officeDocument/2006/relationships/hyperlink" Target="https://ima.apps.paas.gazprom-neft.local/assetr/scenarios/15992/layer/results-redesigned" TargetMode="External"/><Relationship Id="rId84" Type="http://schemas.openxmlformats.org/officeDocument/2006/relationships/hyperlink" Target="https://ima.apps.paas.gazprom-neft.local/assetr/scenarios/15994/layer/results-redesigned" TargetMode="External"/><Relationship Id="rId89" Type="http://schemas.openxmlformats.org/officeDocument/2006/relationships/hyperlink" Target="https://ima.apps.paas.gazprom-neft.local/assetr/scenarios/15996/layer/results-redesigned" TargetMode="External"/><Relationship Id="rId7" Type="http://schemas.openxmlformats.org/officeDocument/2006/relationships/hyperlink" Target="https://ima.apps.paas.gazprom-neft.local/assetr/scenarios/16033/layer/b6k-adaptation-layer" TargetMode="External"/><Relationship Id="rId71" Type="http://schemas.openxmlformats.org/officeDocument/2006/relationships/hyperlink" Target="https://ima.apps.paas.gazprom-neft.local/assetr/scenarios/14745/layer/results-redesigned" TargetMode="External"/><Relationship Id="rId92" Type="http://schemas.openxmlformats.org/officeDocument/2006/relationships/hyperlink" Target="https://ima.apps.paas.gazprom-neft.local/assetr/scenarios/14742/layer/b6k-input/layerCode/95226c94-78bf-35ae-64e1-f0969a57ccad" TargetMode="External"/><Relationship Id="rId2" Type="http://schemas.openxmlformats.org/officeDocument/2006/relationships/hyperlink" Target="https://ima.apps.paas.gazprom-neft.local/assetr/scenarios/15973/layer/results-redesigned" TargetMode="External"/><Relationship Id="rId16" Type="http://schemas.openxmlformats.org/officeDocument/2006/relationships/hyperlink" Target="https://ima.apps.paas.gazprom-neft.local/assetr/scenarios/16037/layer/b6k-adaptation-layer" TargetMode="External"/><Relationship Id="rId29" Type="http://schemas.openxmlformats.org/officeDocument/2006/relationships/hyperlink" Target="https://ima.apps.paas.gazprom-neft.local/assetr/scenarios/16150/layer/manual-events" TargetMode="External"/><Relationship Id="rId11" Type="http://schemas.openxmlformats.org/officeDocument/2006/relationships/hyperlink" Target="https://ima.apps.paas.gazprom-neft.local/assetr/scenarios/14705/layer/results-redesigned" TargetMode="External"/><Relationship Id="rId24" Type="http://schemas.openxmlformats.org/officeDocument/2006/relationships/hyperlink" Target="https://ima.apps.paas.gazprom-neft.local/assetr/scenarios/16149/layer/manual-events" TargetMode="External"/><Relationship Id="rId32" Type="http://schemas.openxmlformats.org/officeDocument/2006/relationships/hyperlink" Target="https://ima.apps.paas.gazprom-neft.local/assetr/scenarios/16153/layer/manual-events" TargetMode="External"/><Relationship Id="rId37" Type="http://schemas.openxmlformats.org/officeDocument/2006/relationships/hyperlink" Target="https://ima.apps.paas.gazprom-neft.local/assetr/scenarios/16105/layer/manual-events" TargetMode="External"/><Relationship Id="rId40" Type="http://schemas.openxmlformats.org/officeDocument/2006/relationships/hyperlink" Target="https://ima.apps.paas.gazprom-neft.local/assetr/scenarios/14726/config" TargetMode="External"/><Relationship Id="rId45" Type="http://schemas.openxmlformats.org/officeDocument/2006/relationships/hyperlink" Target="https://ima.apps.paas.gazprom-neft.local/assetr/scenarios/14744/layer/results-redesigned" TargetMode="External"/><Relationship Id="rId53" Type="http://schemas.openxmlformats.org/officeDocument/2006/relationships/hyperlink" Target="https://ima.apps.paas.gazprom-neft.local/assetr/scenarios/15987/layer/results-redesigned" TargetMode="External"/><Relationship Id="rId58" Type="http://schemas.openxmlformats.org/officeDocument/2006/relationships/hyperlink" Target="https://ima.apps.paas.gazprom-neft.local/assetr/scenarios/16088/layer/manual-events" TargetMode="External"/><Relationship Id="rId66" Type="http://schemas.openxmlformats.org/officeDocument/2006/relationships/hyperlink" Target="https://ima.apps.paas.gazprom-neft.local/assetr/scenarios/14725/config" TargetMode="External"/><Relationship Id="rId74" Type="http://schemas.openxmlformats.org/officeDocument/2006/relationships/hyperlink" Target="https://ima.apps.paas.gazprom-neft.local/assetr/scenarios/16091/layer/manual-events" TargetMode="External"/><Relationship Id="rId79" Type="http://schemas.openxmlformats.org/officeDocument/2006/relationships/hyperlink" Target="https://ima.apps.paas.gazprom-neft.local/assetr/scenarios/14730/config" TargetMode="External"/><Relationship Id="rId87" Type="http://schemas.openxmlformats.org/officeDocument/2006/relationships/hyperlink" Target="https://ima.apps.paas.gazprom-neft.local/assetr/scenarios/16139/config" TargetMode="External"/><Relationship Id="rId5" Type="http://schemas.openxmlformats.org/officeDocument/2006/relationships/hyperlink" Target="https://ima.apps.paas.gazprom-neft.local/assetr/scenarios/16145/layer/manual-events" TargetMode="External"/><Relationship Id="rId61" Type="http://schemas.openxmlformats.org/officeDocument/2006/relationships/hyperlink" Target="https://ima.apps.paas.gazprom-neft.local/assetr/scenarios/15988/layer/b6k-input/layerCode/245e9dea-9cf4-bbe8-1e6d-3cfeee61c297" TargetMode="External"/><Relationship Id="rId82" Type="http://schemas.openxmlformats.org/officeDocument/2006/relationships/hyperlink" Target="https://ima.apps.paas.gazprom-neft.local/assetr/scenarios/16093/layer/manual-events" TargetMode="External"/><Relationship Id="rId90" Type="http://schemas.openxmlformats.org/officeDocument/2006/relationships/hyperlink" Target="https://ima.apps.paas.gazprom-neft.local/assetr/scenarios/16096/layer/manual-events" TargetMode="External"/><Relationship Id="rId95" Type="http://schemas.openxmlformats.org/officeDocument/2006/relationships/hyperlink" Target="https://ima.apps.paas.gazprom-neft.local/assetr/scenarios/15998/layer/results-redesigned" TargetMode="External"/><Relationship Id="rId19" Type="http://schemas.openxmlformats.org/officeDocument/2006/relationships/hyperlink" Target="https://ima.apps.paas.gazprom-neft.local/assetr/scenarios/16164/layer/results-redesigned" TargetMode="External"/><Relationship Id="rId14" Type="http://schemas.openxmlformats.org/officeDocument/2006/relationships/hyperlink" Target="https://ima.apps.paas.gazprom-neft.local/assetr/scenarios/16140/config" TargetMode="External"/><Relationship Id="rId22" Type="http://schemas.openxmlformats.org/officeDocument/2006/relationships/hyperlink" Target="https://ima.apps.paas.gazprom-neft.local/assetr/scenarios/16103/layer/manual-events" TargetMode="External"/><Relationship Id="rId27" Type="http://schemas.openxmlformats.org/officeDocument/2006/relationships/hyperlink" Target="https://ima.apps.paas.gazprom-neft.local/assetr/scenarios/16104/layer/manual-events" TargetMode="External"/><Relationship Id="rId30" Type="http://schemas.openxmlformats.org/officeDocument/2006/relationships/hyperlink" Target="https://ima.apps.paas.gazprom-neft.local/assetr/scenarios/14723/config" TargetMode="External"/><Relationship Id="rId35" Type="http://schemas.openxmlformats.org/officeDocument/2006/relationships/hyperlink" Target="https://ima.apps.paas.gazprom-neft.local/assetr/scenarios/14728/config" TargetMode="External"/><Relationship Id="rId43" Type="http://schemas.openxmlformats.org/officeDocument/2006/relationships/hyperlink" Target="https://ima.apps.paas.gazprom-neft.local/assetr/scenarios/16084/layer/manual-events" TargetMode="External"/><Relationship Id="rId48" Type="http://schemas.openxmlformats.org/officeDocument/2006/relationships/hyperlink" Target="https://ima.apps.paas.gazprom-neft.local/assetr/scenarios/14785/config" TargetMode="External"/><Relationship Id="rId56" Type="http://schemas.openxmlformats.org/officeDocument/2006/relationships/hyperlink" Target="https://ima-sima-1.apps.test.paas.gazprom-neft.local/assetr/scenarios/120/layer/results-redesigned" TargetMode="External"/><Relationship Id="rId64" Type="http://schemas.openxmlformats.org/officeDocument/2006/relationships/hyperlink" Target="https://ima.apps.paas.gazprom-neft.local/assetr/scenarios/14786/layer/results-redesigned" TargetMode="External"/><Relationship Id="rId69" Type="http://schemas.openxmlformats.org/officeDocument/2006/relationships/hyperlink" Target="https://ima.apps.paas.gazprom-neft.local/assetr/scenarios/14694/layer/results-redesigned" TargetMode="External"/><Relationship Id="rId77" Type="http://schemas.openxmlformats.org/officeDocument/2006/relationships/hyperlink" Target="https://ima.apps.paas.gazprom-neft.local/assetr/scenarios/16092/layer/manual-events" TargetMode="External"/><Relationship Id="rId8" Type="http://schemas.openxmlformats.org/officeDocument/2006/relationships/hyperlink" Target="https://ima.apps.paas.gazprom-neft.local/assetr/scenarios/16100/layer/manual-events" TargetMode="External"/><Relationship Id="rId51" Type="http://schemas.openxmlformats.org/officeDocument/2006/relationships/hyperlink" Target="https://ima.apps.paas.gazprom-neft.local/assetr/scenarios/16086/layer/manual-events" TargetMode="External"/><Relationship Id="rId72" Type="http://schemas.openxmlformats.org/officeDocument/2006/relationships/hyperlink" Target="https://ima.apps.paas.gazprom-neft.local/assetr/scenarios/15991/layer/results-redesigned" TargetMode="External"/><Relationship Id="rId80" Type="http://schemas.openxmlformats.org/officeDocument/2006/relationships/hyperlink" Target="https://ima.apps.paas.gazprom-neft.local/assetr/scenarios/15993/layer/results-redesigned" TargetMode="External"/><Relationship Id="rId85" Type="http://schemas.openxmlformats.org/officeDocument/2006/relationships/hyperlink" Target="https://ima.apps.paas.gazprom-neft.local/assetr/scenarios/14760/layer/results-redesigned" TargetMode="External"/><Relationship Id="rId93" Type="http://schemas.openxmlformats.org/officeDocument/2006/relationships/hyperlink" Target="https://ima.apps.paas.gazprom-neft.local/assetr/scenarios/15997/layer/b6k-input/layerCode/95226c94-78bf-35ae-64e1-f0969a57ccad" TargetMode="External"/><Relationship Id="rId3" Type="http://schemas.openxmlformats.org/officeDocument/2006/relationships/hyperlink" Target="https://ima.apps.paas.gazprom-neft.local/assetr/scenarios/16099/layer/manual-events" TargetMode="External"/><Relationship Id="rId12" Type="http://schemas.openxmlformats.org/officeDocument/2006/relationships/hyperlink" Target="https://ima.apps.paas.gazprom-neft.local/assetr/scenarios/16034/config" TargetMode="External"/><Relationship Id="rId17" Type="http://schemas.openxmlformats.org/officeDocument/2006/relationships/hyperlink" Target="https://ima.apps.paas.gazprom-neft.local/assetr/scenarios/16101/layer/manual-events" TargetMode="External"/><Relationship Id="rId25" Type="http://schemas.openxmlformats.org/officeDocument/2006/relationships/hyperlink" Target="https://ima.apps.paas.gazprom-neft.local/assetr/scenarios/14720/config" TargetMode="External"/><Relationship Id="rId33" Type="http://schemas.openxmlformats.org/officeDocument/2006/relationships/hyperlink" Target="https://ima.apps.paas.gazprom-neft.local/assetr/scenarios/16152/layer/manual-events" TargetMode="External"/><Relationship Id="rId38" Type="http://schemas.openxmlformats.org/officeDocument/2006/relationships/hyperlink" Target="https://ima.apps.paas.gazprom-neft.local/assetr/scenarios/16083/layer/manual-events" TargetMode="External"/><Relationship Id="rId46" Type="http://schemas.openxmlformats.org/officeDocument/2006/relationships/hyperlink" Target="https://ima.apps.paas.gazprom-neft.local/assetr/scenarios/15983/layer/results-redesigned" TargetMode="External"/><Relationship Id="rId59" Type="http://schemas.openxmlformats.org/officeDocument/2006/relationships/hyperlink" Target="https://ima.apps.paas.gazprom-neft.local/assetr/scenarios/16156/layer/manual-events" TargetMode="External"/><Relationship Id="rId67" Type="http://schemas.openxmlformats.org/officeDocument/2006/relationships/hyperlink" Target="https://ima.apps.paas.gazprom-neft.local/assetr/scenarios/15989/layer/b6k-input/layerCode/67e95556-20b9-9ebb-3dbd-f958bae88745" TargetMode="External"/><Relationship Id="rId20" Type="http://schemas.openxmlformats.org/officeDocument/2006/relationships/hyperlink" Target="https://ima.apps.paas.gazprom-neft.local/assetr/scenarios/14721/config" TargetMode="External"/><Relationship Id="rId41" Type="http://schemas.openxmlformats.org/officeDocument/2006/relationships/hyperlink" Target="https://ima.apps.paas.gazprom-neft.local/assetr/scenarios/15982/layer/results-redesigned" TargetMode="External"/><Relationship Id="rId54" Type="http://schemas.openxmlformats.org/officeDocument/2006/relationships/hyperlink" Target="https://ima.apps.paas.gazprom-neft.local/assetr/scenarios/14732/config" TargetMode="External"/><Relationship Id="rId62" Type="http://schemas.openxmlformats.org/officeDocument/2006/relationships/hyperlink" Target="https://ima.apps.paas.gazprom-neft.local/assetr/scenarios/14739/layer/results-redesigned" TargetMode="External"/><Relationship Id="rId70" Type="http://schemas.openxmlformats.org/officeDocument/2006/relationships/hyperlink" Target="https://ima.apps.paas.gazprom-neft.local/assetr/scenarios/14791/config" TargetMode="External"/><Relationship Id="rId75" Type="http://schemas.openxmlformats.org/officeDocument/2006/relationships/hyperlink" Target="https://ima.apps.paas.gazprom-neft.local/assetr/scenarios/14696/layer/results-redesigned" TargetMode="External"/><Relationship Id="rId83" Type="http://schemas.openxmlformats.org/officeDocument/2006/relationships/hyperlink" Target="https://ima.apps.paas.gazprom-neft.local/assetr/scenarios/14755/layer/results-redesigned" TargetMode="External"/><Relationship Id="rId88" Type="http://schemas.openxmlformats.org/officeDocument/2006/relationships/hyperlink" Target="https://ima.apps.paas.gazprom-neft.local/assetr/scenarios/14761/layer/results-redesigned" TargetMode="External"/><Relationship Id="rId91" Type="http://schemas.openxmlformats.org/officeDocument/2006/relationships/hyperlink" Target="https://ima.apps.paas.gazprom-neft.local/assetr/scenarios/14795/layer/results-redesigned" TargetMode="External"/><Relationship Id="rId96" Type="http://schemas.openxmlformats.org/officeDocument/2006/relationships/hyperlink" Target="https://ima.apps.paas.gazprom-neft.local/assetr/scenarios/14770/layer/results-redesigned" TargetMode="External"/><Relationship Id="rId1" Type="http://schemas.openxmlformats.org/officeDocument/2006/relationships/hyperlink" Target="https://ima.apps.paas.gazprom-neft.local/assetr/scenarios/14804/config" TargetMode="External"/><Relationship Id="rId6" Type="http://schemas.openxmlformats.org/officeDocument/2006/relationships/hyperlink" Target="https://ima.apps.paas.gazprom-neft.local/assetr/scenarios/14713/config" TargetMode="External"/><Relationship Id="rId15" Type="http://schemas.openxmlformats.org/officeDocument/2006/relationships/hyperlink" Target="https://ima.apps.paas.gazprom-neft.local/assetr/scenarios/14719/config" TargetMode="External"/><Relationship Id="rId23" Type="http://schemas.openxmlformats.org/officeDocument/2006/relationships/hyperlink" Target="https://ima.apps.paas.gazprom-neft.local/assetr/scenarios/16079/layer/manual-events" TargetMode="External"/><Relationship Id="rId28" Type="http://schemas.openxmlformats.org/officeDocument/2006/relationships/hyperlink" Target="https://ima.apps.paas.gazprom-neft.local/assetr/scenarios/16080/layer/manual-events" TargetMode="External"/><Relationship Id="rId36" Type="http://schemas.openxmlformats.org/officeDocument/2006/relationships/hyperlink" Target="https://ima.apps.paas.gazprom-neft.local/assetr/scenarios/15981/layer/b6k-input/layerCode/bff4a18b-fb0b-50a6-002f-9f9e702b6b03" TargetMode="External"/><Relationship Id="rId49" Type="http://schemas.openxmlformats.org/officeDocument/2006/relationships/hyperlink" Target="https://ima.apps.paas.gazprom-neft.local/assetr/scenarios/14749/config" TargetMode="External"/><Relationship Id="rId57" Type="http://schemas.openxmlformats.org/officeDocument/2006/relationships/hyperlink" Target="https://ima.apps.paas.gazprom-neft.local/assetr/scenarios/16046/config" TargetMode="External"/><Relationship Id="rId10" Type="http://schemas.openxmlformats.org/officeDocument/2006/relationships/hyperlink" Target="https://ima.apps.paas.gazprom-neft.local/assetr/scenarios/16147/layer/manual-events" TargetMode="External"/><Relationship Id="rId31" Type="http://schemas.openxmlformats.org/officeDocument/2006/relationships/hyperlink" Target="https://ima.apps.paas.gazprom-neft.local/assetr/scenarios/16040/config" TargetMode="External"/><Relationship Id="rId44" Type="http://schemas.openxmlformats.org/officeDocument/2006/relationships/hyperlink" Target="https://ima.apps.paas.gazprom-neft.local/assetr/scenarios/16155/layer/manual-events" TargetMode="External"/><Relationship Id="rId52" Type="http://schemas.openxmlformats.org/officeDocument/2006/relationships/hyperlink" Target="https://ima.apps.paas.gazprom-neft.local/assetr/scenarios/14727/layer/manual-events" TargetMode="External"/><Relationship Id="rId60" Type="http://schemas.openxmlformats.org/officeDocument/2006/relationships/hyperlink" Target="https://ima.apps.paas.gazprom-neft.local/assetr/scenarios/14724/layer/results-redesigned" TargetMode="External"/><Relationship Id="rId65" Type="http://schemas.openxmlformats.org/officeDocument/2006/relationships/hyperlink" Target="https://ima.apps.paas.gazprom-neft.local/assetr/scenarios/16142/layer/manual-events" TargetMode="External"/><Relationship Id="rId73" Type="http://schemas.openxmlformats.org/officeDocument/2006/relationships/hyperlink" Target="https://ima.apps.paas.gazprom-neft.local/assetr/scenarios/14746/layer/results-redesigned" TargetMode="External"/><Relationship Id="rId78" Type="http://schemas.openxmlformats.org/officeDocument/2006/relationships/hyperlink" Target="https://ima.apps.paas.gazprom-neft.local/assetr/scenarios/16141/layer/manual-events" TargetMode="External"/><Relationship Id="rId81" Type="http://schemas.openxmlformats.org/officeDocument/2006/relationships/hyperlink" Target="https://ima.apps.paas.gazprom-neft.local/assetr/scenarios/14812/layer/manual-events" TargetMode="External"/><Relationship Id="rId86" Type="http://schemas.openxmlformats.org/officeDocument/2006/relationships/hyperlink" Target="https://ima.apps.paas.gazprom-neft.local/assetr/scenarios/15995/layer/results-redesigned" TargetMode="External"/><Relationship Id="rId94" Type="http://schemas.openxmlformats.org/officeDocument/2006/relationships/hyperlink" Target="https://ima.apps.paas.gazprom-neft.local/assetr/scenarios/14743/layer/b6k-input/layerCode/f3ce623b-5c85-d9f2-befe-0d0366c5ef18" TargetMode="External"/><Relationship Id="rId4" Type="http://schemas.openxmlformats.org/officeDocument/2006/relationships/hyperlink" Target="https://ima.apps.paas.gazprom-neft.local/assetr/scenarios/16071/config" TargetMode="External"/><Relationship Id="rId9" Type="http://schemas.openxmlformats.org/officeDocument/2006/relationships/hyperlink" Target="https://ima.apps.paas.gazprom-neft.local/assetr/scenarios/16072/layer/manual-even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ma.apps.paas.gazprom-neft.local/assetr/scenarios/16210/config" TargetMode="External"/><Relationship Id="rId13" Type="http://schemas.openxmlformats.org/officeDocument/2006/relationships/hyperlink" Target="https://ima.apps.paas.gazprom-neft.local/assetr/scenarios/16160/layer/results-redesigned" TargetMode="External"/><Relationship Id="rId18" Type="http://schemas.openxmlformats.org/officeDocument/2006/relationships/hyperlink" Target="https://ima.apps.paas.gazprom-neft.local/assetr/scenarios/16181/config" TargetMode="External"/><Relationship Id="rId3" Type="http://schemas.openxmlformats.org/officeDocument/2006/relationships/hyperlink" Target="https://ima.apps.paas.gazprom-neft.local/assetr/scenarios/16175/layer/manual-events" TargetMode="External"/><Relationship Id="rId21" Type="http://schemas.openxmlformats.org/officeDocument/2006/relationships/hyperlink" Target="https://ima.apps.paas.gazprom-neft.local/assetr/scenarios/16044/config" TargetMode="External"/><Relationship Id="rId7" Type="http://schemas.openxmlformats.org/officeDocument/2006/relationships/hyperlink" Target="https://ima.apps.paas.gazprom-neft.local/assetr/scenarios/16176/layer/manual-events" TargetMode="External"/><Relationship Id="rId12" Type="http://schemas.openxmlformats.org/officeDocument/2006/relationships/hyperlink" Target="https://ima.apps.paas.gazprom-neft.local/assetr/scenarios/16212/layer/manual-events" TargetMode="External"/><Relationship Id="rId17" Type="http://schemas.openxmlformats.org/officeDocument/2006/relationships/hyperlink" Target="https://ima.apps.paas.gazprom-neft.local/assetr/scenarios/16045/config" TargetMode="External"/><Relationship Id="rId2" Type="http://schemas.openxmlformats.org/officeDocument/2006/relationships/hyperlink" Target="https://ima.apps.paas.gazprom-neft.local/assetr/scenarios/16205/layer/manual-events" TargetMode="External"/><Relationship Id="rId16" Type="http://schemas.openxmlformats.org/officeDocument/2006/relationships/hyperlink" Target="https://ima.apps.paas.gazprom-neft.local/assetr/scenarios/16208/layer/manual-events" TargetMode="External"/><Relationship Id="rId20" Type="http://schemas.openxmlformats.org/officeDocument/2006/relationships/hyperlink" Target="https://ima.apps.paas.gazprom-neft.local/assetr/scenarios/16185/layer/manual-events" TargetMode="External"/><Relationship Id="rId1" Type="http://schemas.openxmlformats.org/officeDocument/2006/relationships/hyperlink" Target="https://ima.apps.paas.gazprom-neft.local/assetr/scenarios/16161/config" TargetMode="External"/><Relationship Id="rId6" Type="http://schemas.openxmlformats.org/officeDocument/2006/relationships/hyperlink" Target="https://ima.apps.paas.gazprom-neft.local/assetr/scenarios/16211/layer/manual-events" TargetMode="External"/><Relationship Id="rId11" Type="http://schemas.openxmlformats.org/officeDocument/2006/relationships/hyperlink" Target="https://ima.apps.paas.gazprom-neft.local/assetr/scenarios/16179/layer/manual-events" TargetMode="External"/><Relationship Id="rId24" Type="http://schemas.openxmlformats.org/officeDocument/2006/relationships/hyperlink" Target="https://ima.apps.paas.gazprom-neft.local/assetr/scenarios/16203/layer/manual-events" TargetMode="External"/><Relationship Id="rId5" Type="http://schemas.openxmlformats.org/officeDocument/2006/relationships/hyperlink" Target="https://ima.apps.paas.gazprom-neft.local/assetr/scenarios/16159/layer/manual-events" TargetMode="External"/><Relationship Id="rId15" Type="http://schemas.openxmlformats.org/officeDocument/2006/relationships/hyperlink" Target="https://ima.apps.paas.gazprom-neft.local/assetr/scenarios/16180/layer/b6k-adaptation-wells" TargetMode="External"/><Relationship Id="rId23" Type="http://schemas.openxmlformats.org/officeDocument/2006/relationships/hyperlink" Target="https://ima.apps.paas.gazprom-neft.local/assetr/scenarios/16178/layer/b6k-input/layerCode/20dd2dfe-de89-4557-0f3a-e5c7b9e16e13" TargetMode="External"/><Relationship Id="rId10" Type="http://schemas.openxmlformats.org/officeDocument/2006/relationships/hyperlink" Target="https://ima.apps.paas.gazprom-neft.local/assetr/scenarios/16213/layer/manual-events" TargetMode="External"/><Relationship Id="rId19" Type="http://schemas.openxmlformats.org/officeDocument/2006/relationships/hyperlink" Target="https://ima.apps.paas.gazprom-neft.local/assetr/scenarios/16177/layer/results-redesigned" TargetMode="External"/><Relationship Id="rId4" Type="http://schemas.openxmlformats.org/officeDocument/2006/relationships/hyperlink" Target="https://ima.apps.paas.gazprom-neft.local/assetr/scenarios/16204/layer/manual-events" TargetMode="External"/><Relationship Id="rId9" Type="http://schemas.openxmlformats.org/officeDocument/2006/relationships/hyperlink" Target="https://ima.apps.paas.gazprom-neft.local/assetr/scenarios/16158/layer/results-redesigned" TargetMode="External"/><Relationship Id="rId14" Type="http://schemas.openxmlformats.org/officeDocument/2006/relationships/hyperlink" Target="https://ima.apps.paas.gazprom-neft.local/assetr/scenarios/16209/layer/manual-events" TargetMode="External"/><Relationship Id="rId22" Type="http://schemas.openxmlformats.org/officeDocument/2006/relationships/hyperlink" Target="https://ima.apps.paas.gazprom-neft.local/assetr/scenarios/16182/confi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ima.apps.paas.gazprom-neft.local/assetr/scenarios/16034/layer/b6k-input/layerCode/bdb055f0-a0ff-4a66-58db-d512fb8ebf2d" TargetMode="External"/><Relationship Id="rId18" Type="http://schemas.openxmlformats.org/officeDocument/2006/relationships/hyperlink" Target="https://ima.apps.paas.gazprom-neft.local/assetr/scenarios/16047/layer/b6k-input/layerCode/d25f57a7-8192-de4c-96ab-bd4e509011ac" TargetMode="External"/><Relationship Id="rId26" Type="http://schemas.openxmlformats.org/officeDocument/2006/relationships/hyperlink" Target="https://ima.apps.paas.gazprom-neft.local/assetr/scenarios/15982/layer/b6k-input/layerCode/a2d40a32-7720-11f9-cbd2-c00f385f05d6" TargetMode="External"/><Relationship Id="rId39" Type="http://schemas.openxmlformats.org/officeDocument/2006/relationships/hyperlink" Target="https://ima.apps.paas.gazprom-neft.local/assetr/scenarios/15992/layer/b6k-input/layerCode/fa97d92e-73ae-b640-0e0a-1b7d74d97253" TargetMode="External"/><Relationship Id="rId21" Type="http://schemas.openxmlformats.org/officeDocument/2006/relationships/hyperlink" Target="https://ima.apps.paas.gazprom-neft.local/assetr/scenarios/16047/layer/b6k-input/layerCode/5586d91a-6339-e1dd-9076-bd106774cb07" TargetMode="External"/><Relationship Id="rId34" Type="http://schemas.openxmlformats.org/officeDocument/2006/relationships/hyperlink" Target="https://ima.apps.paas.gazprom-neft.local/assetr/scenarios/15992/layer/b6k-input/layerCode/a820fc5b-4ea1-b162-bcea-b1a4ab1faf03" TargetMode="External"/><Relationship Id="rId42" Type="http://schemas.openxmlformats.org/officeDocument/2006/relationships/hyperlink" Target="https://ima.apps.paas.gazprom-neft.local/assetr/scenarios/15993/layer/b6k-input/layerCode/c5356047-e399-19a8-076f-eafa78681d91" TargetMode="External"/><Relationship Id="rId47" Type="http://schemas.openxmlformats.org/officeDocument/2006/relationships/hyperlink" Target="https://ima.apps.paas.gazprom-neft.local/assetr/scenarios/15993/layer/b6k-input/layerCode/e46f44d4-0438-9f12-0d7f-3d4d70c71989" TargetMode="External"/><Relationship Id="rId50" Type="http://schemas.openxmlformats.org/officeDocument/2006/relationships/hyperlink" Target="https://ima.apps.paas.gazprom-neft.local/assetr/scenarios/15993/layer/b6k-input/layerCode/60a33c6e-df8b-cecb-3e0d-27beb4325f05" TargetMode="External"/><Relationship Id="rId55" Type="http://schemas.openxmlformats.org/officeDocument/2006/relationships/hyperlink" Target="https://ima.apps.paas.gazprom-neft.local/assetr/scenarios/15994/layer/b6k-input/layerCode/128ec3c8-b1c2-f524-441b-9fb6516de3ee" TargetMode="External"/><Relationship Id="rId7" Type="http://schemas.openxmlformats.org/officeDocument/2006/relationships/hyperlink" Target="https://ima.apps.paas.gazprom-neft.local/assetr/scenarios/16034/layer/b6k-input/layerCode/839ffce6-520c-32ba-e71a-fbefefc57620" TargetMode="External"/><Relationship Id="rId12" Type="http://schemas.openxmlformats.org/officeDocument/2006/relationships/hyperlink" Target="https://ima.apps.paas.gazprom-neft.local/assetr/scenarios/16034/layer/b6k-input/layerCode/94e0838d-1d3a-8fc6-c879-63f774f63ace" TargetMode="External"/><Relationship Id="rId17" Type="http://schemas.openxmlformats.org/officeDocument/2006/relationships/hyperlink" Target="https://ima.apps.paas.gazprom-neft.local/assetr/scenarios/16047/layer/b6k-input/layerCode/08bfac6a-91b5-4d27-ca17-533418573440" TargetMode="External"/><Relationship Id="rId25" Type="http://schemas.openxmlformats.org/officeDocument/2006/relationships/hyperlink" Target="https://ima.apps.paas.gazprom-neft.local/assetr/scenarios/16047/layer/b6k-input/layerCode/38ef8e70-b1a8-0a51-86f8-c3b070acc374" TargetMode="External"/><Relationship Id="rId33" Type="http://schemas.openxmlformats.org/officeDocument/2006/relationships/hyperlink" Target="https://ima.apps.paas.gazprom-neft.local/assetr/scenarios/15992/layer/b6k-input/layerCode/3873dc54-a79b-2219-bc4f-f3395db9ece0" TargetMode="External"/><Relationship Id="rId38" Type="http://schemas.openxmlformats.org/officeDocument/2006/relationships/hyperlink" Target="https://ima.apps.paas.gazprom-neft.local/assetr/scenarios/15992/layer/b6k-input/layerCode/c34ea3a6-78f3-6499-e298-6c3665e6e4e2" TargetMode="External"/><Relationship Id="rId46" Type="http://schemas.openxmlformats.org/officeDocument/2006/relationships/hyperlink" Target="https://ima.apps.paas.gazprom-neft.local/assetr/scenarios/15993/layer/b6k-input/layerCode/b6984e63-f492-79e4-7647-fa1da1d02937" TargetMode="External"/><Relationship Id="rId59" Type="http://schemas.openxmlformats.org/officeDocument/2006/relationships/hyperlink" Target="https://ima.apps.paas.gazprom-neft.local/assetr/scenarios/16159/layer/b6k-input/layerCode/0fa75717-5bad-1463-0859-90dc1d4d9934" TargetMode="External"/><Relationship Id="rId2" Type="http://schemas.openxmlformats.org/officeDocument/2006/relationships/hyperlink" Target="https://ima.apps.paas.gazprom-neft.local/assetr/scenarios/16034/layer/b6k-input/layerCode/185f9bf8-c8b8-a701-df5d-b5c17d919621" TargetMode="External"/><Relationship Id="rId16" Type="http://schemas.openxmlformats.org/officeDocument/2006/relationships/hyperlink" Target="https://ima.apps.paas.gazprom-neft.local/assetr/scenarios/16047/layer/b6k-input/layerCode/d52a2ca6-b4da-ad62-6f11-c17a8e21f1ec" TargetMode="External"/><Relationship Id="rId20" Type="http://schemas.openxmlformats.org/officeDocument/2006/relationships/hyperlink" Target="https://ima.apps.paas.gazprom-neft.local/assetr/scenarios/16047/layer/b6k-input/layerCode/995603eb-34ea-8d6c-48c8-3ba4b720a19c" TargetMode="External"/><Relationship Id="rId29" Type="http://schemas.openxmlformats.org/officeDocument/2006/relationships/hyperlink" Target="https://ima.apps.paas.gazprom-neft.local/assetr/scenarios/15983/layer/b6k-input/layerCode/0bc277f9-c5c8-bbda-2815-423e685398e3" TargetMode="External"/><Relationship Id="rId41" Type="http://schemas.openxmlformats.org/officeDocument/2006/relationships/hyperlink" Target="https://ima.apps.paas.gazprom-neft.local/assetr/scenarios/15993/layer/b6k-input/layerCode/4168c41d-3262-fe66-2003-2f19a1356f7d" TargetMode="External"/><Relationship Id="rId54" Type="http://schemas.openxmlformats.org/officeDocument/2006/relationships/hyperlink" Target="https://ima.apps.paas.gazprom-neft.local/assetr/scenarios/15993/layer/b6k-input/layerCode/993e3552-b095-59f4-6545-f1127e99efb1" TargetMode="External"/><Relationship Id="rId1" Type="http://schemas.openxmlformats.org/officeDocument/2006/relationships/hyperlink" Target="https://ima.apps.paas.gazprom-neft.local/assetr/scenarios/16034/layer/b6k-input/layerCode/55c125fe-d7a4-ba71-22d3-a3a744ac0f13" TargetMode="External"/><Relationship Id="rId6" Type="http://schemas.openxmlformats.org/officeDocument/2006/relationships/hyperlink" Target="https://ima.apps.paas.gazprom-neft.local/assetr/scenarios/16034/layer/b6k-input/layerCode/27a20372-3291-166e-8dd4-2056573457ff" TargetMode="External"/><Relationship Id="rId11" Type="http://schemas.openxmlformats.org/officeDocument/2006/relationships/hyperlink" Target="https://ima.apps.paas.gazprom-neft.local/assetr/scenarios/16034/layer/b6k-input/layerCode/ce07d56c-e95f-3be8-31f0-9e6e8404d1d7" TargetMode="External"/><Relationship Id="rId24" Type="http://schemas.openxmlformats.org/officeDocument/2006/relationships/hyperlink" Target="https://ima.apps.paas.gazprom-neft.local/assetr/scenarios/16047/layer/b6k-input/layerCode/61dbfb25-e1e3-39a4-aac8-8fa84e92322b" TargetMode="External"/><Relationship Id="rId32" Type="http://schemas.openxmlformats.org/officeDocument/2006/relationships/hyperlink" Target="https://ima.apps.paas.gazprom-neft.local/assetr/scenarios/15992/layer/b6k-input/layerCode/d29b9415-0a92-d352-5ce7-aec2bd53ed9d" TargetMode="External"/><Relationship Id="rId37" Type="http://schemas.openxmlformats.org/officeDocument/2006/relationships/hyperlink" Target="https://ima.apps.paas.gazprom-neft.local/assetr/scenarios/15992/layer/b6k-input/layerCode/2a3f850a-bb48-fa1d-5e3f-153c2541d13a" TargetMode="External"/><Relationship Id="rId40" Type="http://schemas.openxmlformats.org/officeDocument/2006/relationships/hyperlink" Target="https://ima.apps.paas.gazprom-neft.local/assetr/scenarios/15993/layer/b6k-input/layerCode/c338edfb-6d57-88b6-10d8-f0c741ad7bdb" TargetMode="External"/><Relationship Id="rId45" Type="http://schemas.openxmlformats.org/officeDocument/2006/relationships/hyperlink" Target="https://ima.apps.paas.gazprom-neft.local/assetr/scenarios/15993/layer/b6k-input/layerCode/99235638-575c-5908-018b-7408f7028ab0" TargetMode="External"/><Relationship Id="rId53" Type="http://schemas.openxmlformats.org/officeDocument/2006/relationships/hyperlink" Target="https://ima.apps.paas.gazprom-neft.local/assetr/scenarios/15993/layer/b6k-input/layerCode/e58e48c9-1d40-487d-18a5-2bc8b043d321" TargetMode="External"/><Relationship Id="rId58" Type="http://schemas.openxmlformats.org/officeDocument/2006/relationships/hyperlink" Target="https://ima.apps.paas.gazprom-neft.local/assetr/scenarios/16159/layer/b6k-input/layerCode/725a4504-1048-cd46-d749-5427b1492c47" TargetMode="External"/><Relationship Id="rId5" Type="http://schemas.openxmlformats.org/officeDocument/2006/relationships/hyperlink" Target="https://ima.apps.paas.gazprom-neft.local/assetr/scenarios/16034/layer/b6k-input/layerCode/c5887b50-a196-9eb5-19af-2caf047c7cde" TargetMode="External"/><Relationship Id="rId15" Type="http://schemas.openxmlformats.org/officeDocument/2006/relationships/hyperlink" Target="https://ima.apps.paas.gazprom-neft.local/assetr/scenarios/16047/layer/b6k-input/layerCode/04ec316a-cc45-f494-256b-847fb8cdfc9f" TargetMode="External"/><Relationship Id="rId23" Type="http://schemas.openxmlformats.org/officeDocument/2006/relationships/hyperlink" Target="https://ima.apps.paas.gazprom-neft.local/assetr/scenarios/16047/layer/b6k-input/layerCode/83baeab1-fc54-9325-e709-f10b0d3cbc28" TargetMode="External"/><Relationship Id="rId28" Type="http://schemas.openxmlformats.org/officeDocument/2006/relationships/hyperlink" Target="https://ima.apps.paas.gazprom-neft.local/assetr/scenarios/15983/layer/b6k-input/layerCode/adbaa6a4-3bc7-159b-387d-e7b465869ab6" TargetMode="External"/><Relationship Id="rId36" Type="http://schemas.openxmlformats.org/officeDocument/2006/relationships/hyperlink" Target="https://ima.apps.paas.gazprom-neft.local/assetr/scenarios/15992/layer/b6k-input/layerCode/d86aa61f-3348-670d-ac60-9a43ff1a2dc5" TargetMode="External"/><Relationship Id="rId49" Type="http://schemas.openxmlformats.org/officeDocument/2006/relationships/hyperlink" Target="https://ima.apps.paas.gazprom-neft.local/assetr/scenarios/15993/layer/b6k-input/layerCode/24ca35f2-f8d0-b620-dfa3-b0c70506ed36" TargetMode="External"/><Relationship Id="rId57" Type="http://schemas.openxmlformats.org/officeDocument/2006/relationships/hyperlink" Target="https://ima.apps.paas.gazprom-neft.local/assetr/scenarios/16159/layer/b6k-input/layerCode/e013d64e-ff2d-ce36-b4cb-673a6c19b9cc" TargetMode="External"/><Relationship Id="rId10" Type="http://schemas.openxmlformats.org/officeDocument/2006/relationships/hyperlink" Target="https://ima.apps.paas.gazprom-neft.local/assetr/scenarios/16034/layer/b6k-input/layerCode/02439c15-8e23-4481-3655-b95866472253" TargetMode="External"/><Relationship Id="rId19" Type="http://schemas.openxmlformats.org/officeDocument/2006/relationships/hyperlink" Target="https://ima.apps.paas.gazprom-neft.local/assetr/scenarios/16047/layer/b6k-input/layerCode/5c37df67-de2e-0182-0d81-ee751dd9ba09" TargetMode="External"/><Relationship Id="rId31" Type="http://schemas.openxmlformats.org/officeDocument/2006/relationships/hyperlink" Target="https://ima.apps.paas.gazprom-neft.local/assetr/scenarios/15987/layer/b6k-input/layerCode/eb7c847a-a89e-78ce-06a2-1e393e1b3089" TargetMode="External"/><Relationship Id="rId44" Type="http://schemas.openxmlformats.org/officeDocument/2006/relationships/hyperlink" Target="https://ima.apps.paas.gazprom-neft.local/assetr/scenarios/15993/layer/b6k-input/layerCode/c7012ebe-9951-9e12-40c1-05de10abe268" TargetMode="External"/><Relationship Id="rId52" Type="http://schemas.openxmlformats.org/officeDocument/2006/relationships/hyperlink" Target="https://ima.apps.paas.gazprom-neft.local/assetr/scenarios/15993/layer/b6k-input/layerCode/5decff31-3308-48db-543a-de433f7d4a68" TargetMode="External"/><Relationship Id="rId4" Type="http://schemas.openxmlformats.org/officeDocument/2006/relationships/hyperlink" Target="https://ima.apps.paas.gazprom-neft.local/assetr/scenarios/16034/layer/b6k-input/layerCode/28fafcc6-ff3b-6c9a-f77b-3b80f259c714" TargetMode="External"/><Relationship Id="rId9" Type="http://schemas.openxmlformats.org/officeDocument/2006/relationships/hyperlink" Target="https://ima.apps.paas.gazprom-neft.local/assetr/scenarios/16034/layer/b6k-input/layerCode/1fe0485b-f616-d493-d979-dad2e5efadf7" TargetMode="External"/><Relationship Id="rId14" Type="http://schemas.openxmlformats.org/officeDocument/2006/relationships/hyperlink" Target="https://ima.apps.paas.gazprom-neft.local/assetr/scenarios/16034/layer/b6k-input/layerCode/c75dff8b-eb90-9305-73c8-f46faa6f0a42" TargetMode="External"/><Relationship Id="rId22" Type="http://schemas.openxmlformats.org/officeDocument/2006/relationships/hyperlink" Target="https://ima.apps.paas.gazprom-neft.local/assetr/scenarios/16047/layer/b6k-input/layerCode/8ce0db57-abc4-c0bf-2c6f-baa2c627bcc7" TargetMode="External"/><Relationship Id="rId27" Type="http://schemas.openxmlformats.org/officeDocument/2006/relationships/hyperlink" Target="https://ima.apps.paas.gazprom-neft.local/assetr/scenarios/15982/layer/b6k-input/layerCode/ca24f9ec-4c2e-eb6e-55c9-f75b63873bfb" TargetMode="External"/><Relationship Id="rId30" Type="http://schemas.openxmlformats.org/officeDocument/2006/relationships/hyperlink" Target="https://ima.apps.paas.gazprom-neft.local/assetr/scenarios/15987/layer/b6k-input/layerCode/1ed14a15-4297-582e-671a-2919256435d2" TargetMode="External"/><Relationship Id="rId35" Type="http://schemas.openxmlformats.org/officeDocument/2006/relationships/hyperlink" Target="https://ima.apps.paas.gazprom-neft.local/assetr/scenarios/15992/layer/b6k-input/layerCode/61a808d0-00c3-701a-a3bc-52f601bd9fcd" TargetMode="External"/><Relationship Id="rId43" Type="http://schemas.openxmlformats.org/officeDocument/2006/relationships/hyperlink" Target="https://ima.apps.paas.gazprom-neft.local/assetr/scenarios/15993/layer/b6k-input/layerCode/91232db5-b37c-d563-242d-101dc6cf631d" TargetMode="External"/><Relationship Id="rId48" Type="http://schemas.openxmlformats.org/officeDocument/2006/relationships/hyperlink" Target="https://ima.apps.paas.gazprom-neft.local/assetr/scenarios/15993/layer/b6k-input/layerCode/1378f3d2-e28f-cf31-2a68-23062d31a1f2" TargetMode="External"/><Relationship Id="rId56" Type="http://schemas.openxmlformats.org/officeDocument/2006/relationships/hyperlink" Target="https://ima.apps.paas.gazprom-neft.local/assetr/scenarios/15994/layer/b6k-input/layerCode/db40c47f-8d86-7389-4905-15c7f6618317" TargetMode="External"/><Relationship Id="rId8" Type="http://schemas.openxmlformats.org/officeDocument/2006/relationships/hyperlink" Target="https://ima.apps.paas.gazprom-neft.local/assetr/scenarios/16034/layer/b6k-input/layerCode/72fd8cbf-aaa3-f86b-1888-0eb59e1ff1b1" TargetMode="External"/><Relationship Id="rId51" Type="http://schemas.openxmlformats.org/officeDocument/2006/relationships/hyperlink" Target="https://ima.apps.paas.gazprom-neft.local/assetr/scenarios/15993/layer/b6k-input/layerCode/56a8b854-0d2c-e1e8-ed09-4f8b41720d26" TargetMode="External"/><Relationship Id="rId3" Type="http://schemas.openxmlformats.org/officeDocument/2006/relationships/hyperlink" Target="https://ima.apps.paas.gazprom-neft.local/assetr/scenarios/16034/layer/b6k-input/layerCode/c1dbd61b-455e-3e9a-1a78-6cb92fad806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ma.apps.paas.gazprom-neft.local/assetr/scenarios/16158/layer/results-redesigned" TargetMode="External"/><Relationship Id="rId7" Type="http://schemas.openxmlformats.org/officeDocument/2006/relationships/hyperlink" Target="https://myfunction.gazprom-neft.local/dos/documents/9704" TargetMode="External"/><Relationship Id="rId2" Type="http://schemas.openxmlformats.org/officeDocument/2006/relationships/hyperlink" Target="https://ima.apps.paas.gazprom-neft.local/assetr/scenarios/16159/layer/manual-events" TargetMode="External"/><Relationship Id="rId1" Type="http://schemas.openxmlformats.org/officeDocument/2006/relationships/hyperlink" Target="https://ima.apps.paas.gazprom-neft.local/assetr/scenarios/16161/config" TargetMode="External"/><Relationship Id="rId6" Type="http://schemas.openxmlformats.org/officeDocument/2006/relationships/hyperlink" Target="https://ima.apps.paas.gazprom-neft.local/assetr/scenarios/16044/config" TargetMode="External"/><Relationship Id="rId5" Type="http://schemas.openxmlformats.org/officeDocument/2006/relationships/hyperlink" Target="https://ima.apps.paas.gazprom-neft.local/assetr/scenarios/16045/config" TargetMode="External"/><Relationship Id="rId4" Type="http://schemas.openxmlformats.org/officeDocument/2006/relationships/hyperlink" Target="https://ima.apps.paas.gazprom-neft.local/assetr/scenarios/16160/layer/results-redesig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"/>
  <sheetViews>
    <sheetView topLeftCell="A10" zoomScale="85" workbookViewId="0">
      <selection activeCell="B72" sqref="A72:XFD72"/>
    </sheetView>
  </sheetViews>
  <sheetFormatPr defaultRowHeight="15" x14ac:dyDescent="0.25"/>
  <cols>
    <col min="1" max="1" width="22.42578125" customWidth="1"/>
    <col min="2" max="2" width="61.7109375" customWidth="1"/>
    <col min="3" max="3" width="30.28515625" customWidth="1"/>
    <col min="4" max="4" width="94.5703125" hidden="1" customWidth="1"/>
    <col min="5" max="5" width="35.5703125" hidden="1" customWidth="1"/>
    <col min="6" max="6" width="29.85546875" hidden="1" customWidth="1"/>
    <col min="7" max="7" width="28.85546875" hidden="1" customWidth="1"/>
    <col min="8" max="9" width="19.5703125" customWidth="1"/>
    <col min="10" max="10" width="16.85546875" bestFit="1" customWidth="1"/>
    <col min="11" max="11" width="106.5703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22" x14ac:dyDescent="0.25">
      <c r="A2" s="23" t="s">
        <v>11</v>
      </c>
      <c r="B2" s="4" t="s">
        <v>12</v>
      </c>
      <c r="C2" s="4">
        <v>0</v>
      </c>
      <c r="D2" s="5" t="s">
        <v>13</v>
      </c>
      <c r="E2">
        <v>32287730.769076858</v>
      </c>
      <c r="F2">
        <v>32907201.579303827</v>
      </c>
      <c r="G2">
        <v>33393813.492772382</v>
      </c>
      <c r="H2" s="6"/>
      <c r="I2" s="6"/>
      <c r="J2" s="6"/>
      <c r="K2" s="7" t="s">
        <v>14</v>
      </c>
    </row>
    <row r="3" spans="1:22" x14ac:dyDescent="0.25">
      <c r="A3" s="23"/>
      <c r="B3" s="4" t="s">
        <v>15</v>
      </c>
      <c r="C3" s="4">
        <v>7</v>
      </c>
      <c r="D3" s="8"/>
      <c r="E3" s="8"/>
      <c r="F3" s="8"/>
      <c r="G3" s="6"/>
      <c r="H3" s="6">
        <v>-4546.2440000000006</v>
      </c>
      <c r="I3" s="6">
        <v>16005.197999999999</v>
      </c>
      <c r="J3" s="6">
        <v>63223.713000000003</v>
      </c>
      <c r="K3" s="7" t="s">
        <v>16</v>
      </c>
      <c r="P3" s="9" t="s">
        <v>17</v>
      </c>
      <c r="R3">
        <f>COUNTIF($S$3:$S$34,P3)</f>
        <v>1</v>
      </c>
      <c r="S3" t="s">
        <v>11</v>
      </c>
      <c r="V3" t="s">
        <v>18</v>
      </c>
    </row>
    <row r="4" spans="1:22" x14ac:dyDescent="0.25">
      <c r="A4" s="23"/>
      <c r="B4" s="4" t="s">
        <v>19</v>
      </c>
      <c r="C4" s="4">
        <v>26</v>
      </c>
      <c r="D4" s="8"/>
      <c r="E4" s="8"/>
      <c r="F4" s="8"/>
      <c r="G4" s="6"/>
      <c r="H4" s="6">
        <v>-5417.4120000000012</v>
      </c>
      <c r="I4" s="6">
        <v>54824.916999999994</v>
      </c>
      <c r="J4" s="6">
        <v>170644.658</v>
      </c>
      <c r="K4" s="7" t="s">
        <v>20</v>
      </c>
      <c r="P4" s="9"/>
    </row>
    <row r="5" spans="1:22" x14ac:dyDescent="0.25">
      <c r="A5" s="23"/>
      <c r="B5" s="4" t="s">
        <v>21</v>
      </c>
      <c r="C5" s="4">
        <v>39</v>
      </c>
      <c r="D5" s="8"/>
      <c r="E5">
        <v>32279611.22692921</v>
      </c>
      <c r="F5">
        <v>33013708.297380231</v>
      </c>
      <c r="G5">
        <v>33714287.256392129</v>
      </c>
      <c r="H5" s="6">
        <f t="shared" ref="H5:I9" si="0">E5-E2</f>
        <v>-8119.5421476475894</v>
      </c>
      <c r="I5" s="6">
        <f t="shared" si="0"/>
        <v>106506.71807640418</v>
      </c>
      <c r="J5" s="6">
        <f>G5-G2</f>
        <v>320473.76361974701</v>
      </c>
      <c r="K5" s="7" t="s">
        <v>22</v>
      </c>
      <c r="P5" s="6" t="s">
        <v>23</v>
      </c>
      <c r="R5">
        <f t="shared" ref="R5:R9" si="1">COUNTIF($S$3:$S$34,P5)</f>
        <v>1</v>
      </c>
      <c r="S5" t="s">
        <v>24</v>
      </c>
    </row>
    <row r="6" spans="1:22" x14ac:dyDescent="0.25">
      <c r="A6" s="23" t="s">
        <v>24</v>
      </c>
      <c r="B6" s="4" t="s">
        <v>12</v>
      </c>
      <c r="C6" s="4"/>
      <c r="D6" s="5" t="s">
        <v>25</v>
      </c>
      <c r="E6" s="8">
        <v>48412237.394096807</v>
      </c>
      <c r="F6" s="8">
        <v>49446572.472930327</v>
      </c>
      <c r="G6" s="6">
        <v>50252047.906468093</v>
      </c>
      <c r="H6" s="6"/>
      <c r="I6" s="6"/>
      <c r="J6" s="6"/>
      <c r="K6" s="7" t="s">
        <v>26</v>
      </c>
      <c r="P6" s="6" t="s">
        <v>27</v>
      </c>
      <c r="R6">
        <f t="shared" si="1"/>
        <v>1</v>
      </c>
      <c r="S6" t="s">
        <v>28</v>
      </c>
      <c r="V6" t="s">
        <v>29</v>
      </c>
    </row>
    <row r="7" spans="1:22" x14ac:dyDescent="0.25">
      <c r="A7" s="23"/>
      <c r="B7" s="4" t="s">
        <v>15</v>
      </c>
      <c r="C7" s="4">
        <v>15</v>
      </c>
      <c r="D7" s="8"/>
      <c r="E7" s="8"/>
      <c r="F7" s="8"/>
      <c r="G7" s="6"/>
      <c r="H7" s="6">
        <v>-1015.564</v>
      </c>
      <c r="I7" s="6">
        <v>16543.677</v>
      </c>
      <c r="J7" s="6">
        <v>46098.523999999998</v>
      </c>
      <c r="K7" s="7" t="s">
        <v>30</v>
      </c>
      <c r="P7" s="6" t="s">
        <v>24</v>
      </c>
      <c r="R7">
        <f t="shared" si="1"/>
        <v>1</v>
      </c>
      <c r="S7" t="s">
        <v>17</v>
      </c>
    </row>
    <row r="8" spans="1:22" x14ac:dyDescent="0.25">
      <c r="A8" s="23"/>
      <c r="B8" s="4" t="s">
        <v>19</v>
      </c>
      <c r="C8" s="4">
        <v>34</v>
      </c>
      <c r="D8" s="8"/>
      <c r="E8" s="8"/>
      <c r="F8" s="8"/>
      <c r="G8" s="6"/>
      <c r="H8" s="6">
        <v>-19238.446000000011</v>
      </c>
      <c r="I8" s="6">
        <v>-8627.4150000000027</v>
      </c>
      <c r="J8" s="6">
        <v>35945.637000000002</v>
      </c>
      <c r="K8" s="7" t="s">
        <v>31</v>
      </c>
      <c r="P8" s="6"/>
    </row>
    <row r="9" spans="1:22" x14ac:dyDescent="0.25">
      <c r="A9" s="23"/>
      <c r="B9" s="4" t="s">
        <v>21</v>
      </c>
      <c r="C9" s="4">
        <v>75</v>
      </c>
      <c r="D9" s="8"/>
      <c r="E9" s="8">
        <v>48390115.012761384</v>
      </c>
      <c r="F9" s="8">
        <v>49468898.282691516</v>
      </c>
      <c r="G9" s="6">
        <v>50377045.379787371</v>
      </c>
      <c r="H9" s="6">
        <f t="shared" si="0"/>
        <v>-22122.381335422397</v>
      </c>
      <c r="I9" s="6">
        <f>F9-F6</f>
        <v>22325.809761188924</v>
      </c>
      <c r="J9" s="6">
        <f>G9-G6</f>
        <v>124997.47331927717</v>
      </c>
      <c r="K9" s="7" t="s">
        <v>32</v>
      </c>
      <c r="P9" s="6" t="s">
        <v>33</v>
      </c>
      <c r="R9">
        <f t="shared" si="1"/>
        <v>1</v>
      </c>
      <c r="S9" t="s">
        <v>33</v>
      </c>
    </row>
    <row r="10" spans="1:22" x14ac:dyDescent="0.25">
      <c r="A10" s="23" t="s">
        <v>28</v>
      </c>
      <c r="B10" s="4" t="s">
        <v>12</v>
      </c>
      <c r="C10" s="4"/>
      <c r="D10" s="5" t="s">
        <v>34</v>
      </c>
      <c r="E10" s="8">
        <v>38009489.399999999</v>
      </c>
      <c r="F10" s="8">
        <v>38587458.560000002</v>
      </c>
      <c r="G10" s="6">
        <v>38696787.25</v>
      </c>
      <c r="H10" s="6"/>
      <c r="I10" s="6"/>
      <c r="J10" s="6"/>
      <c r="K10" s="7" t="s">
        <v>35</v>
      </c>
      <c r="P10" s="10" t="s">
        <v>36</v>
      </c>
      <c r="R10">
        <f t="shared" ref="R10:R38" si="2">COUNTIF($S$3:$S$34,P10)</f>
        <v>0</v>
      </c>
      <c r="S10" t="s">
        <v>37</v>
      </c>
    </row>
    <row r="11" spans="1:22" x14ac:dyDescent="0.25">
      <c r="A11" s="23"/>
      <c r="B11" s="4" t="s">
        <v>15</v>
      </c>
      <c r="C11" s="4"/>
      <c r="D11" s="8"/>
      <c r="E11" s="8"/>
      <c r="F11" s="8"/>
      <c r="G11" s="6"/>
      <c r="H11" s="6"/>
      <c r="I11" s="6"/>
      <c r="J11" s="6"/>
      <c r="P11" s="6" t="s">
        <v>38</v>
      </c>
      <c r="R11">
        <f t="shared" si="2"/>
        <v>1</v>
      </c>
      <c r="S11" t="s">
        <v>39</v>
      </c>
    </row>
    <row r="12" spans="1:22" x14ac:dyDescent="0.25">
      <c r="A12" s="23"/>
      <c r="B12" s="4" t="s">
        <v>19</v>
      </c>
      <c r="C12" s="4">
        <v>4</v>
      </c>
      <c r="D12" s="8"/>
      <c r="E12" s="8"/>
      <c r="F12" s="8"/>
      <c r="G12" s="6"/>
      <c r="H12" s="6">
        <v>-2141.7210000000005</v>
      </c>
      <c r="I12" s="6">
        <v>-3032.203</v>
      </c>
      <c r="J12" s="6">
        <v>-3193.3610000000003</v>
      </c>
      <c r="K12" s="7" t="s">
        <v>40</v>
      </c>
      <c r="P12" s="6"/>
    </row>
    <row r="13" spans="1:22" x14ac:dyDescent="0.25">
      <c r="A13" s="23"/>
      <c r="B13" s="4" t="s">
        <v>21</v>
      </c>
      <c r="C13" s="4">
        <v>4</v>
      </c>
      <c r="D13" s="11"/>
      <c r="E13" s="8">
        <v>38008275.939999998</v>
      </c>
      <c r="F13" s="11">
        <v>38585864.579999998</v>
      </c>
      <c r="G13" s="6">
        <v>38695177.219999999</v>
      </c>
      <c r="H13" s="6">
        <f>E13-E10</f>
        <v>-1213.4600000008941</v>
      </c>
      <c r="I13" s="6">
        <f>F13-F10</f>
        <v>-1593.9800000041723</v>
      </c>
      <c r="J13" s="6">
        <f>G13-G10</f>
        <v>-1610.0300000011921</v>
      </c>
      <c r="K13" s="7" t="s">
        <v>41</v>
      </c>
      <c r="P13" s="6" t="s">
        <v>42</v>
      </c>
      <c r="R13">
        <f t="shared" si="2"/>
        <v>1</v>
      </c>
      <c r="S13" t="s">
        <v>43</v>
      </c>
    </row>
    <row r="14" spans="1:22" x14ac:dyDescent="0.25">
      <c r="A14" s="23" t="s">
        <v>17</v>
      </c>
      <c r="B14" s="4" t="s">
        <v>12</v>
      </c>
      <c r="C14" s="4"/>
      <c r="D14" s="5" t="s">
        <v>44</v>
      </c>
      <c r="E14" s="8">
        <v>111871678.34999999</v>
      </c>
      <c r="F14" s="8">
        <v>114539681.45</v>
      </c>
      <c r="G14" s="6">
        <v>116493981.45</v>
      </c>
      <c r="H14" s="6"/>
      <c r="I14" s="6"/>
      <c r="J14" s="6"/>
      <c r="K14" s="7" t="s">
        <v>45</v>
      </c>
      <c r="P14" s="10" t="s">
        <v>46</v>
      </c>
      <c r="R14">
        <f t="shared" si="2"/>
        <v>0</v>
      </c>
      <c r="S14" t="s">
        <v>47</v>
      </c>
    </row>
    <row r="15" spans="1:22" x14ac:dyDescent="0.25">
      <c r="A15" s="23"/>
      <c r="B15" s="4" t="s">
        <v>15</v>
      </c>
      <c r="C15" s="4">
        <v>15</v>
      </c>
      <c r="D15" s="8"/>
      <c r="E15" s="8"/>
      <c r="F15" s="8"/>
      <c r="G15" s="6"/>
      <c r="H15" s="6">
        <v>-7935.0470000000005</v>
      </c>
      <c r="I15" s="6">
        <v>-20168.560000000001</v>
      </c>
      <c r="J15" s="6">
        <v>-29606.549999999996</v>
      </c>
      <c r="K15" s="7" t="s">
        <v>48</v>
      </c>
      <c r="P15" s="6" t="s">
        <v>43</v>
      </c>
      <c r="R15">
        <f t="shared" si="2"/>
        <v>1</v>
      </c>
      <c r="S15" t="s">
        <v>49</v>
      </c>
    </row>
    <row r="16" spans="1:22" x14ac:dyDescent="0.25">
      <c r="A16" s="23"/>
      <c r="B16" s="4" t="s">
        <v>19</v>
      </c>
      <c r="C16" s="4">
        <v>73</v>
      </c>
      <c r="D16" s="8"/>
      <c r="E16" s="8"/>
      <c r="F16" s="8"/>
      <c r="G16" s="6"/>
      <c r="H16" s="6">
        <v>-42227.545587867266</v>
      </c>
      <c r="I16" s="6">
        <v>-89911.715262753889</v>
      </c>
      <c r="J16" s="6">
        <v>-116133.65003632754</v>
      </c>
      <c r="K16" s="7" t="s">
        <v>50</v>
      </c>
      <c r="P16" s="6"/>
    </row>
    <row r="17" spans="1:19" x14ac:dyDescent="0.25">
      <c r="A17" s="23"/>
      <c r="B17" s="4" t="s">
        <v>21</v>
      </c>
      <c r="C17" s="4">
        <v>44</v>
      </c>
      <c r="D17" s="8"/>
      <c r="E17" s="8">
        <v>111870875.56999999</v>
      </c>
      <c r="F17" s="8">
        <v>114556032.77</v>
      </c>
      <c r="G17" s="6">
        <v>116529787.95999999</v>
      </c>
      <c r="H17" s="6">
        <f t="shared" ref="H17:I25" si="3">E17-E14</f>
        <v>-802.78000000119209</v>
      </c>
      <c r="I17" s="6">
        <f t="shared" si="3"/>
        <v>16351.319999992847</v>
      </c>
      <c r="J17" s="6">
        <f>G17-G14</f>
        <v>35806.509999990463</v>
      </c>
      <c r="K17" s="7" t="s">
        <v>51</v>
      </c>
      <c r="P17" s="6" t="s">
        <v>37</v>
      </c>
      <c r="R17">
        <f t="shared" si="2"/>
        <v>1</v>
      </c>
      <c r="S17" t="s">
        <v>52</v>
      </c>
    </row>
    <row r="18" spans="1:19" x14ac:dyDescent="0.25">
      <c r="A18" s="23" t="s">
        <v>33</v>
      </c>
      <c r="B18" s="4" t="s">
        <v>12</v>
      </c>
      <c r="C18" s="4"/>
      <c r="D18" s="5" t="s">
        <v>53</v>
      </c>
      <c r="E18" s="8">
        <v>22503410.561808947</v>
      </c>
      <c r="F18" s="8">
        <v>22887220.667995472</v>
      </c>
      <c r="G18" s="6">
        <v>23164753.344119404</v>
      </c>
      <c r="H18" s="6"/>
      <c r="I18" s="6"/>
      <c r="J18" s="6"/>
      <c r="K18" s="7" t="s">
        <v>54</v>
      </c>
      <c r="P18" s="6" t="s">
        <v>28</v>
      </c>
      <c r="R18">
        <f t="shared" si="2"/>
        <v>1</v>
      </c>
      <c r="S18" t="s">
        <v>55</v>
      </c>
    </row>
    <row r="19" spans="1:19" x14ac:dyDescent="0.25">
      <c r="A19" s="23"/>
      <c r="B19" s="4" t="s">
        <v>15</v>
      </c>
      <c r="C19" s="4">
        <v>8</v>
      </c>
      <c r="D19" s="8"/>
      <c r="E19" s="8"/>
      <c r="F19" s="8"/>
      <c r="G19" s="6"/>
      <c r="H19" s="6">
        <v>3889.5730000000003</v>
      </c>
      <c r="I19" s="6">
        <v>28166.622000000003</v>
      </c>
      <c r="J19" s="6">
        <v>58625.35</v>
      </c>
      <c r="K19" s="7" t="s">
        <v>56</v>
      </c>
      <c r="P19" s="6" t="s">
        <v>39</v>
      </c>
      <c r="R19">
        <f t="shared" si="2"/>
        <v>1</v>
      </c>
      <c r="S19" t="s">
        <v>57</v>
      </c>
    </row>
    <row r="20" spans="1:19" x14ac:dyDescent="0.25">
      <c r="A20" s="23"/>
      <c r="B20" s="4" t="s">
        <v>19</v>
      </c>
      <c r="C20" s="4">
        <v>40</v>
      </c>
      <c r="D20" s="8"/>
      <c r="E20" s="8"/>
      <c r="F20" s="8"/>
      <c r="G20" s="6"/>
      <c r="H20" s="6">
        <v>-6401.3389999999999</v>
      </c>
      <c r="I20" s="6">
        <v>12471.845000000001</v>
      </c>
      <c r="J20" s="6">
        <v>42582.14899999999</v>
      </c>
      <c r="K20" s="7" t="s">
        <v>58</v>
      </c>
      <c r="P20" s="6"/>
    </row>
    <row r="21" spans="1:19" x14ac:dyDescent="0.25">
      <c r="A21" s="23"/>
      <c r="B21" s="4" t="s">
        <v>21</v>
      </c>
      <c r="C21" s="4">
        <v>55</v>
      </c>
      <c r="D21" s="8"/>
      <c r="E21" s="8">
        <v>22502794.902992476</v>
      </c>
      <c r="F21" s="8">
        <v>22935334.420214362</v>
      </c>
      <c r="G21" s="6">
        <v>23274672.7163717</v>
      </c>
      <c r="H21" s="6">
        <f t="shared" si="3"/>
        <v>-615.6588164716959</v>
      </c>
      <c r="I21" s="6">
        <f t="shared" si="3"/>
        <v>48113.752218890935</v>
      </c>
      <c r="J21" s="6">
        <f>G21-G18</f>
        <v>109919.37225229666</v>
      </c>
      <c r="K21" s="7" t="s">
        <v>59</v>
      </c>
      <c r="P21" s="6" t="s">
        <v>60</v>
      </c>
      <c r="R21">
        <f t="shared" si="2"/>
        <v>1</v>
      </c>
      <c r="S21" t="s">
        <v>61</v>
      </c>
    </row>
    <row r="22" spans="1:19" x14ac:dyDescent="0.25">
      <c r="A22" s="23" t="s">
        <v>37</v>
      </c>
      <c r="B22" s="4" t="s">
        <v>12</v>
      </c>
      <c r="C22" s="4"/>
      <c r="D22" s="5" t="s">
        <v>62</v>
      </c>
      <c r="E22" s="8">
        <v>163065074.41</v>
      </c>
      <c r="F22" s="8">
        <v>163842400.43000001</v>
      </c>
      <c r="G22" s="6">
        <v>163870854.11000001</v>
      </c>
      <c r="H22" s="6"/>
      <c r="I22" s="6"/>
      <c r="J22" s="6"/>
      <c r="K22" s="7" t="s">
        <v>63</v>
      </c>
      <c r="P22" s="6" t="s">
        <v>64</v>
      </c>
      <c r="R22">
        <f t="shared" si="2"/>
        <v>1</v>
      </c>
      <c r="S22" t="s">
        <v>38</v>
      </c>
    </row>
    <row r="23" spans="1:19" x14ac:dyDescent="0.25">
      <c r="A23" s="23"/>
      <c r="B23" s="4" t="s">
        <v>15</v>
      </c>
      <c r="C23" s="4">
        <v>10</v>
      </c>
      <c r="D23" s="8"/>
      <c r="E23" s="8"/>
      <c r="F23" s="8"/>
      <c r="G23" s="6"/>
      <c r="H23" s="6">
        <v>106.048</v>
      </c>
      <c r="I23" s="6">
        <v>905.84899999999982</v>
      </c>
      <c r="J23" s="6">
        <v>943.73599999999999</v>
      </c>
      <c r="K23" s="7" t="s">
        <v>65</v>
      </c>
      <c r="P23" s="6" t="s">
        <v>47</v>
      </c>
      <c r="R23">
        <f t="shared" si="2"/>
        <v>1</v>
      </c>
      <c r="S23" t="s">
        <v>27</v>
      </c>
    </row>
    <row r="24" spans="1:19" x14ac:dyDescent="0.25">
      <c r="A24" s="23"/>
      <c r="B24" s="4" t="s">
        <v>19</v>
      </c>
      <c r="C24" s="4">
        <v>9</v>
      </c>
      <c r="D24" s="8"/>
      <c r="E24" s="8"/>
      <c r="F24" s="8"/>
      <c r="G24" s="6"/>
      <c r="H24" s="6">
        <v>-3833.931</v>
      </c>
      <c r="I24" s="6">
        <v>-9430.219000000001</v>
      </c>
      <c r="J24" s="6">
        <v>-9619.0840000000007</v>
      </c>
      <c r="K24" s="7" t="s">
        <v>66</v>
      </c>
      <c r="P24" s="6"/>
    </row>
    <row r="25" spans="1:19" x14ac:dyDescent="0.25">
      <c r="A25" s="23"/>
      <c r="B25" s="4" t="s">
        <v>21</v>
      </c>
      <c r="C25" s="4">
        <v>24</v>
      </c>
      <c r="D25" s="8"/>
      <c r="E25" s="8">
        <v>163060480.28999999</v>
      </c>
      <c r="F25" s="8">
        <v>163835109.66</v>
      </c>
      <c r="G25" s="6">
        <v>163863552.21000001</v>
      </c>
      <c r="H25" s="6">
        <f t="shared" si="3"/>
        <v>-4594.1200000047684</v>
      </c>
      <c r="I25" s="6">
        <f t="shared" si="3"/>
        <v>-7290.7700000107288</v>
      </c>
      <c r="J25" s="6">
        <f>G25-G22</f>
        <v>-7301.9000000059605</v>
      </c>
      <c r="K25" s="7" t="s">
        <v>67</v>
      </c>
      <c r="P25" s="6" t="s">
        <v>49</v>
      </c>
      <c r="R25">
        <f t="shared" si="2"/>
        <v>1</v>
      </c>
      <c r="S25" t="s">
        <v>64</v>
      </c>
    </row>
    <row r="26" spans="1:19" x14ac:dyDescent="0.25">
      <c r="A26" s="23" t="s">
        <v>39</v>
      </c>
      <c r="B26" s="4" t="s">
        <v>12</v>
      </c>
      <c r="C26" s="4"/>
      <c r="D26" s="5" t="s">
        <v>68</v>
      </c>
      <c r="E26">
        <v>19968721.643155012</v>
      </c>
      <c r="F26">
        <v>20517839.250956252</v>
      </c>
      <c r="G26">
        <v>20948538.441772472</v>
      </c>
      <c r="H26" s="6"/>
      <c r="I26" s="6"/>
      <c r="J26" s="6"/>
      <c r="K26" s="7" t="s">
        <v>69</v>
      </c>
      <c r="P26" s="6" t="s">
        <v>61</v>
      </c>
      <c r="R26">
        <f t="shared" si="2"/>
        <v>1</v>
      </c>
      <c r="S26" t="s">
        <v>70</v>
      </c>
    </row>
    <row r="27" spans="1:19" x14ac:dyDescent="0.25">
      <c r="A27" s="23"/>
      <c r="B27" s="4" t="s">
        <v>15</v>
      </c>
      <c r="C27" s="4">
        <v>1</v>
      </c>
      <c r="D27" s="8"/>
      <c r="E27">
        <v>19967589.214428924</v>
      </c>
      <c r="F27">
        <v>20519359.055264115</v>
      </c>
      <c r="G27">
        <v>20959060.709965833</v>
      </c>
      <c r="H27" s="6">
        <f t="shared" ref="H27:I27" si="4">E27-E26</f>
        <v>-1132.4287260882556</v>
      </c>
      <c r="I27" s="6">
        <f t="shared" si="4"/>
        <v>1519.8043078631163</v>
      </c>
      <c r="J27" s="6">
        <f>G27-G26</f>
        <v>10522.268193360418</v>
      </c>
      <c r="K27" s="7" t="s">
        <v>71</v>
      </c>
      <c r="P27" s="6" t="s">
        <v>11</v>
      </c>
      <c r="R27">
        <f t="shared" si="2"/>
        <v>1</v>
      </c>
      <c r="S27" t="s">
        <v>60</v>
      </c>
    </row>
    <row r="28" spans="1:19" x14ac:dyDescent="0.25">
      <c r="A28" s="23"/>
      <c r="B28" s="4" t="s">
        <v>19</v>
      </c>
      <c r="C28" s="4">
        <v>26</v>
      </c>
      <c r="D28" s="8"/>
      <c r="E28" s="8"/>
      <c r="F28" s="8"/>
      <c r="G28" s="6"/>
      <c r="H28" s="6">
        <v>-26582.377</v>
      </c>
      <c r="I28" s="6">
        <v>-32064.876999999986</v>
      </c>
      <c r="J28" s="6">
        <v>8981.0429999999997</v>
      </c>
      <c r="K28" s="7" t="s">
        <v>72</v>
      </c>
      <c r="P28" s="6"/>
    </row>
    <row r="29" spans="1:19" x14ac:dyDescent="0.25">
      <c r="A29" s="23"/>
      <c r="B29" s="4" t="s">
        <v>21</v>
      </c>
      <c r="C29" s="4">
        <v>32</v>
      </c>
      <c r="D29" s="8"/>
      <c r="E29" s="8"/>
      <c r="F29" s="8"/>
      <c r="G29" s="6"/>
      <c r="H29" s="6">
        <v>-28713.025999999998</v>
      </c>
      <c r="I29" s="6">
        <v>-31719.726999999988</v>
      </c>
      <c r="J29" s="6">
        <v>17886.63</v>
      </c>
      <c r="K29" s="7" t="s">
        <v>73</v>
      </c>
      <c r="P29" s="6" t="s">
        <v>57</v>
      </c>
      <c r="R29">
        <f t="shared" si="2"/>
        <v>1</v>
      </c>
      <c r="S29" t="s">
        <v>42</v>
      </c>
    </row>
    <row r="30" spans="1:19" x14ac:dyDescent="0.25">
      <c r="A30" s="23" t="s">
        <v>43</v>
      </c>
      <c r="B30" s="4" t="s">
        <v>12</v>
      </c>
      <c r="C30" s="4"/>
      <c r="D30" s="5" t="s">
        <v>74</v>
      </c>
      <c r="E30">
        <v>15262347.592079535</v>
      </c>
      <c r="F30">
        <v>16279490.405423714</v>
      </c>
      <c r="G30">
        <v>17128578.547789697</v>
      </c>
      <c r="H30" s="6"/>
      <c r="I30" s="6"/>
      <c r="J30" s="6"/>
      <c r="K30" s="7" t="s">
        <v>75</v>
      </c>
      <c r="P30" s="10" t="s">
        <v>76</v>
      </c>
      <c r="R30">
        <f t="shared" si="2"/>
        <v>0</v>
      </c>
      <c r="S30" t="s">
        <v>77</v>
      </c>
    </row>
    <row r="31" spans="1:19" x14ac:dyDescent="0.25">
      <c r="A31" s="23"/>
      <c r="B31" s="4" t="s">
        <v>15</v>
      </c>
      <c r="C31" s="4">
        <v>8</v>
      </c>
      <c r="D31" s="8"/>
      <c r="G31" s="6"/>
      <c r="H31" s="6">
        <v>-573.9899999999999</v>
      </c>
      <c r="I31" s="6">
        <v>6245.5610000000006</v>
      </c>
      <c r="J31" s="6">
        <v>9162.3979999999992</v>
      </c>
      <c r="K31" s="7" t="s">
        <v>78</v>
      </c>
      <c r="P31" t="s">
        <v>52</v>
      </c>
      <c r="R31">
        <f t="shared" si="2"/>
        <v>1</v>
      </c>
      <c r="S31" t="s">
        <v>23</v>
      </c>
    </row>
    <row r="32" spans="1:19" x14ac:dyDescent="0.25">
      <c r="A32" s="23"/>
      <c r="B32" s="4" t="s">
        <v>19</v>
      </c>
      <c r="C32" s="4">
        <v>6</v>
      </c>
      <c r="D32" s="8"/>
      <c r="E32" s="8"/>
      <c r="F32" s="8"/>
      <c r="G32" s="6"/>
      <c r="H32" s="6">
        <v>-1388.8010000000002</v>
      </c>
      <c r="I32" s="6">
        <v>4620.3</v>
      </c>
      <c r="J32" s="6">
        <v>8328.7889999999989</v>
      </c>
      <c r="K32" s="7" t="s">
        <v>79</v>
      </c>
    </row>
    <row r="33" spans="1:19" x14ac:dyDescent="0.25">
      <c r="A33" s="23"/>
      <c r="B33" s="4" t="s">
        <v>21</v>
      </c>
      <c r="C33" s="4">
        <v>13</v>
      </c>
      <c r="D33" s="8"/>
      <c r="E33">
        <v>15260037.794106724</v>
      </c>
      <c r="F33">
        <v>16288403.310871001</v>
      </c>
      <c r="G33">
        <v>17148142.510947708</v>
      </c>
      <c r="H33" s="6">
        <f t="shared" ref="H33:I37" si="5">E33-E30</f>
        <v>-2309.797972811386</v>
      </c>
      <c r="I33" s="6">
        <f t="shared" si="5"/>
        <v>8912.905447287485</v>
      </c>
      <c r="J33" s="6">
        <f>G33-G30</f>
        <v>19563.963158011436</v>
      </c>
      <c r="K33" s="7" t="s">
        <v>80</v>
      </c>
      <c r="P33" s="10" t="s">
        <v>81</v>
      </c>
      <c r="R33">
        <f t="shared" si="2"/>
        <v>0</v>
      </c>
      <c r="S33" t="s">
        <v>82</v>
      </c>
    </row>
    <row r="34" spans="1:19" x14ac:dyDescent="0.25">
      <c r="A34" s="23" t="s">
        <v>47</v>
      </c>
      <c r="B34" s="4" t="s">
        <v>12</v>
      </c>
      <c r="C34" s="4"/>
      <c r="D34" s="5" t="s">
        <v>83</v>
      </c>
      <c r="E34">
        <v>17950746.570165414</v>
      </c>
      <c r="F34">
        <v>18502801.294436667</v>
      </c>
      <c r="G34">
        <v>18949158.690762427</v>
      </c>
      <c r="H34" s="6"/>
      <c r="I34" s="6"/>
      <c r="J34" s="6"/>
      <c r="K34" s="7" t="s">
        <v>84</v>
      </c>
      <c r="N34" t="s">
        <v>85</v>
      </c>
      <c r="O34" t="s">
        <v>85</v>
      </c>
      <c r="P34" s="10" t="s">
        <v>86</v>
      </c>
      <c r="R34">
        <f t="shared" si="2"/>
        <v>0</v>
      </c>
      <c r="S34" t="s">
        <v>87</v>
      </c>
    </row>
    <row r="35" spans="1:19" x14ac:dyDescent="0.25">
      <c r="A35" s="23"/>
      <c r="B35" s="4" t="s">
        <v>15</v>
      </c>
      <c r="C35" s="4">
        <v>2</v>
      </c>
      <c r="D35" s="8"/>
      <c r="E35" s="8"/>
      <c r="F35" s="8"/>
      <c r="G35" s="6"/>
      <c r="H35" s="6">
        <v>441.637</v>
      </c>
      <c r="I35" s="6">
        <v>6792.4809999999998</v>
      </c>
      <c r="J35" s="6">
        <v>13935.77</v>
      </c>
      <c r="K35" s="7" t="s">
        <v>88</v>
      </c>
      <c r="P35" t="s">
        <v>55</v>
      </c>
      <c r="R35">
        <f t="shared" si="2"/>
        <v>1</v>
      </c>
    </row>
    <row r="36" spans="1:19" x14ac:dyDescent="0.25">
      <c r="A36" s="23"/>
      <c r="B36" s="4" t="s">
        <v>19</v>
      </c>
      <c r="C36" s="4">
        <v>3</v>
      </c>
      <c r="D36" s="8"/>
      <c r="E36" s="8"/>
      <c r="F36" s="8"/>
      <c r="G36" s="6"/>
      <c r="H36" s="6">
        <v>705.05700000000002</v>
      </c>
      <c r="I36" s="6">
        <v>5590.5250000000005</v>
      </c>
      <c r="J36" s="6">
        <v>11949.24</v>
      </c>
      <c r="K36" s="7" t="s">
        <v>89</v>
      </c>
    </row>
    <row r="37" spans="1:19" x14ac:dyDescent="0.25">
      <c r="A37" s="23"/>
      <c r="B37" s="4" t="s">
        <v>21</v>
      </c>
      <c r="C37" s="4">
        <v>5</v>
      </c>
      <c r="D37" s="8"/>
      <c r="E37">
        <v>17951668.428427856</v>
      </c>
      <c r="F37">
        <v>18514792.504291877</v>
      </c>
      <c r="G37">
        <v>18974708.002605598</v>
      </c>
      <c r="H37" s="6">
        <f t="shared" si="5"/>
        <v>921.85826244205236</v>
      </c>
      <c r="I37" s="6">
        <f>F37-F34</f>
        <v>11991.209855210036</v>
      </c>
      <c r="J37" s="6">
        <f>G37-G34</f>
        <v>25549.311843171716</v>
      </c>
      <c r="K37" s="7" t="s">
        <v>90</v>
      </c>
      <c r="P37" s="10" t="s">
        <v>91</v>
      </c>
      <c r="R37">
        <f t="shared" si="2"/>
        <v>0</v>
      </c>
    </row>
    <row r="38" spans="1:19" x14ac:dyDescent="0.25">
      <c r="A38" s="23" t="s">
        <v>49</v>
      </c>
      <c r="B38" s="4" t="s">
        <v>12</v>
      </c>
      <c r="C38" s="4"/>
      <c r="D38" s="5" t="s">
        <v>92</v>
      </c>
      <c r="E38">
        <v>5287227.4810614008</v>
      </c>
      <c r="F38">
        <v>5520823.5298741749</v>
      </c>
      <c r="G38">
        <v>5678462.1386354659</v>
      </c>
      <c r="H38" s="6"/>
      <c r="I38" s="6"/>
      <c r="J38" s="6"/>
      <c r="K38" s="7" t="s">
        <v>93</v>
      </c>
      <c r="P38" s="12" t="s">
        <v>94</v>
      </c>
      <c r="R38">
        <f t="shared" si="2"/>
        <v>0</v>
      </c>
    </row>
    <row r="39" spans="1:19" x14ac:dyDescent="0.25">
      <c r="A39" s="23"/>
      <c r="B39" s="4" t="s">
        <v>15</v>
      </c>
      <c r="C39" s="4">
        <v>2</v>
      </c>
      <c r="D39" s="11"/>
      <c r="E39" s="11">
        <v>5283776.5507447496</v>
      </c>
      <c r="F39" s="11">
        <v>5517734.3092759773</v>
      </c>
      <c r="G39" s="6">
        <v>5683870.7874686867</v>
      </c>
      <c r="H39" s="6">
        <v>-3762.3689999999997</v>
      </c>
      <c r="I39" s="6">
        <v>-2781.5029999999997</v>
      </c>
      <c r="J39" s="6">
        <v>6105.83</v>
      </c>
      <c r="K39" s="7" t="s">
        <v>95</v>
      </c>
    </row>
    <row r="40" spans="1:19" x14ac:dyDescent="0.25">
      <c r="A40" s="23"/>
      <c r="B40" s="4" t="s">
        <v>19</v>
      </c>
      <c r="C40" s="4"/>
      <c r="D40" s="11"/>
      <c r="E40" s="11"/>
      <c r="F40" s="11"/>
      <c r="G40" s="6"/>
      <c r="H40" s="6"/>
      <c r="I40" s="6"/>
      <c r="J40" s="6"/>
      <c r="K40" s="7"/>
    </row>
    <row r="41" spans="1:19" x14ac:dyDescent="0.25">
      <c r="A41" s="23"/>
      <c r="B41" s="4" t="s">
        <v>21</v>
      </c>
      <c r="C41" s="4"/>
      <c r="D41" s="8" t="s">
        <v>96</v>
      </c>
      <c r="E41" s="8"/>
      <c r="F41" s="8"/>
      <c r="G41" s="6"/>
      <c r="H41" s="6"/>
      <c r="I41" s="6"/>
      <c r="J41" s="6"/>
    </row>
    <row r="42" spans="1:19" x14ac:dyDescent="0.25">
      <c r="A42" s="24" t="s">
        <v>52</v>
      </c>
      <c r="B42" s="4" t="s">
        <v>12</v>
      </c>
      <c r="C42" s="4"/>
      <c r="D42" s="8" t="s">
        <v>97</v>
      </c>
      <c r="E42" s="8">
        <v>3560530.16</v>
      </c>
      <c r="F42" s="8">
        <v>3709376.02</v>
      </c>
      <c r="G42" s="6">
        <v>3798482.76</v>
      </c>
      <c r="H42" s="6"/>
      <c r="I42" s="6"/>
      <c r="J42" s="6"/>
      <c r="K42" s="7" t="s">
        <v>98</v>
      </c>
    </row>
    <row r="43" spans="1:19" x14ac:dyDescent="0.25">
      <c r="A43" s="24"/>
      <c r="B43" s="4" t="s">
        <v>15</v>
      </c>
      <c r="C43" s="4"/>
      <c r="D43" s="8"/>
      <c r="E43" s="8"/>
      <c r="F43" s="8"/>
      <c r="G43" s="6"/>
      <c r="H43" s="6"/>
      <c r="I43" s="6"/>
      <c r="J43" s="6"/>
      <c r="Q43">
        <f>24/27</f>
        <v>0.88888888888888884</v>
      </c>
    </row>
    <row r="44" spans="1:19" x14ac:dyDescent="0.25">
      <c r="A44" s="24"/>
      <c r="B44" s="4" t="s">
        <v>19</v>
      </c>
      <c r="C44" s="4">
        <v>4</v>
      </c>
      <c r="D44" s="8"/>
      <c r="E44" s="8">
        <v>3556452.69</v>
      </c>
      <c r="F44" s="8">
        <v>3708360.78</v>
      </c>
      <c r="G44" s="6">
        <v>3795011.76</v>
      </c>
      <c r="H44" s="6">
        <f>E44-E42</f>
        <v>-4077.4700000002049</v>
      </c>
      <c r="I44" s="6">
        <f t="shared" ref="I44:J44" si="6">F44-F42</f>
        <v>-1015.2400000002235</v>
      </c>
      <c r="J44" s="6">
        <f t="shared" si="6"/>
        <v>-3471</v>
      </c>
      <c r="K44" s="7" t="s">
        <v>99</v>
      </c>
    </row>
    <row r="45" spans="1:19" x14ac:dyDescent="0.25">
      <c r="A45" s="24"/>
      <c r="B45" s="4" t="s">
        <v>21</v>
      </c>
      <c r="C45" s="4"/>
      <c r="D45" s="13"/>
      <c r="E45" s="13"/>
      <c r="F45" s="13"/>
      <c r="G45" s="6"/>
      <c r="H45" s="6"/>
      <c r="I45" s="6"/>
      <c r="J45" s="6"/>
    </row>
    <row r="46" spans="1:19" x14ac:dyDescent="0.25">
      <c r="A46" s="23" t="s">
        <v>55</v>
      </c>
      <c r="B46" s="4" t="s">
        <v>12</v>
      </c>
      <c r="C46" s="4"/>
      <c r="D46" s="8" t="s">
        <v>100</v>
      </c>
      <c r="E46" s="8"/>
      <c r="F46" s="8"/>
      <c r="G46" s="6"/>
      <c r="H46" s="6"/>
      <c r="I46" s="6"/>
      <c r="J46" s="6"/>
      <c r="K46" s="7" t="s">
        <v>101</v>
      </c>
    </row>
    <row r="47" spans="1:19" x14ac:dyDescent="0.25">
      <c r="A47" s="23"/>
      <c r="B47" s="4" t="s">
        <v>15</v>
      </c>
      <c r="C47" s="4"/>
      <c r="D47" s="8" t="s">
        <v>102</v>
      </c>
      <c r="E47" s="8"/>
      <c r="F47" s="8"/>
      <c r="G47" s="6"/>
      <c r="H47" s="6">
        <f>E47-E46</f>
        <v>0</v>
      </c>
      <c r="I47" s="6">
        <f>F47-F46</f>
        <v>0</v>
      </c>
      <c r="J47" s="6">
        <f>G47-G46</f>
        <v>0</v>
      </c>
    </row>
    <row r="48" spans="1:19" x14ac:dyDescent="0.25">
      <c r="A48" s="23"/>
      <c r="B48" s="4" t="s">
        <v>19</v>
      </c>
      <c r="C48" s="4"/>
      <c r="D48" s="8"/>
      <c r="E48" s="8"/>
      <c r="F48" s="8"/>
      <c r="G48" s="6"/>
      <c r="H48" s="6"/>
      <c r="I48" s="6"/>
      <c r="J48" s="6"/>
      <c r="K48" s="7"/>
    </row>
    <row r="49" spans="1:12" x14ac:dyDescent="0.25">
      <c r="A49" s="23"/>
      <c r="B49" s="4" t="s">
        <v>21</v>
      </c>
      <c r="C49" s="4"/>
      <c r="D49" s="8" t="s">
        <v>103</v>
      </c>
      <c r="E49" s="8"/>
      <c r="F49" s="8"/>
      <c r="G49" s="6"/>
      <c r="H49" s="6">
        <f t="shared" ref="H49:I64" si="7">E49-E46</f>
        <v>0</v>
      </c>
      <c r="I49" s="6">
        <f t="shared" si="7"/>
        <v>0</v>
      </c>
      <c r="J49" s="6">
        <f>G49-G46</f>
        <v>0</v>
      </c>
    </row>
    <row r="50" spans="1:12" x14ac:dyDescent="0.25">
      <c r="A50" s="23" t="s">
        <v>57</v>
      </c>
      <c r="B50" s="4" t="s">
        <v>12</v>
      </c>
      <c r="C50" s="4"/>
      <c r="D50" s="8" t="s">
        <v>104</v>
      </c>
      <c r="E50">
        <v>6706428.9536991958</v>
      </c>
      <c r="F50">
        <v>7331180.2948669931</v>
      </c>
      <c r="G50">
        <v>7794405.4405692481</v>
      </c>
      <c r="H50" s="6"/>
      <c r="I50" s="6"/>
      <c r="J50" s="6"/>
      <c r="K50" s="7" t="s">
        <v>105</v>
      </c>
    </row>
    <row r="51" spans="1:12" x14ac:dyDescent="0.25">
      <c r="A51" s="23"/>
      <c r="B51" s="4" t="s">
        <v>15</v>
      </c>
      <c r="C51" s="4"/>
      <c r="D51" s="8"/>
      <c r="E51" s="8"/>
      <c r="F51" s="8"/>
      <c r="G51" s="6"/>
      <c r="H51" s="6"/>
      <c r="I51" s="6"/>
      <c r="J51" s="6"/>
    </row>
    <row r="52" spans="1:12" x14ac:dyDescent="0.25">
      <c r="A52" s="23"/>
      <c r="B52" s="4" t="s">
        <v>19</v>
      </c>
      <c r="C52" s="4">
        <v>2</v>
      </c>
      <c r="D52" s="8"/>
      <c r="E52" s="8"/>
      <c r="F52" s="8"/>
      <c r="G52" s="6"/>
      <c r="H52" s="6">
        <v>-3828.1060000000002</v>
      </c>
      <c r="I52" s="6">
        <v>-7255.7479999999996</v>
      </c>
      <c r="J52" s="6">
        <v>-8540.7180000000008</v>
      </c>
      <c r="K52" s="7" t="s">
        <v>106</v>
      </c>
    </row>
    <row r="53" spans="1:12" x14ac:dyDescent="0.25">
      <c r="A53" s="23"/>
      <c r="B53" s="4" t="s">
        <v>21</v>
      </c>
      <c r="C53" s="4">
        <v>4</v>
      </c>
      <c r="D53" s="8"/>
      <c r="E53">
        <v>6704226.3551836563</v>
      </c>
      <c r="F53">
        <v>7331932.2652645167</v>
      </c>
      <c r="G53">
        <v>7799332.0569878314</v>
      </c>
      <c r="H53" s="6">
        <f t="shared" si="7"/>
        <v>-2202.5985155394301</v>
      </c>
      <c r="I53" s="6">
        <f t="shared" si="7"/>
        <v>751.97039752360433</v>
      </c>
      <c r="J53" s="6">
        <f>G53-G50</f>
        <v>4926.6164185833186</v>
      </c>
      <c r="K53" s="7" t="s">
        <v>107</v>
      </c>
    </row>
    <row r="54" spans="1:12" x14ac:dyDescent="0.25">
      <c r="A54" s="23" t="s">
        <v>61</v>
      </c>
      <c r="B54" s="4" t="s">
        <v>12</v>
      </c>
      <c r="C54" s="4"/>
      <c r="D54" s="8" t="s">
        <v>108</v>
      </c>
      <c r="E54">
        <v>85622516.644440591</v>
      </c>
      <c r="F54">
        <v>85909948.990079299</v>
      </c>
      <c r="G54">
        <v>86144028.03977561</v>
      </c>
      <c r="H54" s="6"/>
      <c r="I54" s="6"/>
      <c r="J54" s="6"/>
      <c r="K54" s="7" t="s">
        <v>109</v>
      </c>
    </row>
    <row r="55" spans="1:12" x14ac:dyDescent="0.25">
      <c r="A55" s="23"/>
      <c r="B55" s="4" t="s">
        <v>15</v>
      </c>
      <c r="C55" s="4"/>
      <c r="D55" s="8" t="s">
        <v>110</v>
      </c>
      <c r="E55" s="8"/>
      <c r="F55" s="8"/>
      <c r="G55" s="6"/>
      <c r="H55" s="6"/>
      <c r="I55" s="6"/>
      <c r="J55" s="6"/>
    </row>
    <row r="56" spans="1:12" x14ac:dyDescent="0.25">
      <c r="A56" s="23"/>
      <c r="B56" s="4" t="s">
        <v>19</v>
      </c>
      <c r="C56" s="4">
        <v>1</v>
      </c>
      <c r="D56" s="8"/>
      <c r="E56" s="8"/>
      <c r="F56" s="8"/>
      <c r="G56" s="6"/>
      <c r="H56" s="6">
        <v>-92.245000000000005</v>
      </c>
      <c r="I56" s="6">
        <v>76.358999999999995</v>
      </c>
      <c r="J56" s="6">
        <v>562.505</v>
      </c>
      <c r="K56" s="7" t="s">
        <v>111</v>
      </c>
    </row>
    <row r="57" spans="1:12" x14ac:dyDescent="0.25">
      <c r="A57" s="23"/>
      <c r="B57" s="4" t="s">
        <v>21</v>
      </c>
      <c r="C57" s="4">
        <v>3</v>
      </c>
      <c r="D57" s="8" t="s">
        <v>112</v>
      </c>
      <c r="E57">
        <v>85622396.395732835</v>
      </c>
      <c r="F57">
        <v>85911308.038035274</v>
      </c>
      <c r="G57">
        <v>86147844.621200129</v>
      </c>
      <c r="H57" s="6">
        <f t="shared" si="7"/>
        <v>-120.24870775640011</v>
      </c>
      <c r="I57" s="6">
        <f t="shared" si="7"/>
        <v>1359.0479559749365</v>
      </c>
      <c r="J57" s="6">
        <f>G57-G54</f>
        <v>3816.5814245194197</v>
      </c>
      <c r="K57" s="7" t="s">
        <v>113</v>
      </c>
    </row>
    <row r="58" spans="1:12" x14ac:dyDescent="0.25">
      <c r="A58" s="23" t="s">
        <v>38</v>
      </c>
      <c r="B58" s="4" t="s">
        <v>12</v>
      </c>
      <c r="C58" s="4"/>
      <c r="D58" s="8" t="s">
        <v>114</v>
      </c>
      <c r="E58" s="8"/>
      <c r="F58" s="8"/>
      <c r="G58" s="6"/>
      <c r="H58" s="6"/>
      <c r="I58" s="6"/>
      <c r="J58" s="6"/>
      <c r="K58" s="14" t="s">
        <v>115</v>
      </c>
      <c r="L58" t="s">
        <v>116</v>
      </c>
    </row>
    <row r="59" spans="1:12" x14ac:dyDescent="0.25">
      <c r="A59" s="23"/>
      <c r="B59" s="4" t="s">
        <v>15</v>
      </c>
      <c r="C59" s="4"/>
      <c r="D59" s="11"/>
      <c r="E59" s="11"/>
      <c r="F59" s="11"/>
      <c r="G59" s="6"/>
      <c r="H59" s="6"/>
      <c r="I59" s="6"/>
      <c r="J59" s="6"/>
    </row>
    <row r="60" spans="1:12" x14ac:dyDescent="0.25">
      <c r="A60" s="23"/>
      <c r="B60" s="4" t="s">
        <v>19</v>
      </c>
      <c r="C60" s="4"/>
      <c r="D60" s="11"/>
      <c r="E60" s="11"/>
      <c r="F60" s="11"/>
      <c r="G60" s="6"/>
      <c r="H60" s="6"/>
      <c r="I60" s="6"/>
      <c r="J60" s="6"/>
    </row>
    <row r="61" spans="1:12" x14ac:dyDescent="0.25">
      <c r="A61" s="24" t="s">
        <v>27</v>
      </c>
      <c r="B61" s="4" t="s">
        <v>12</v>
      </c>
      <c r="C61" s="4"/>
      <c r="D61" s="8" t="s">
        <v>117</v>
      </c>
      <c r="E61" s="8"/>
      <c r="F61" s="8"/>
      <c r="G61" s="6"/>
      <c r="H61" s="6"/>
      <c r="I61" s="6"/>
      <c r="J61" s="6"/>
      <c r="K61" s="7" t="s">
        <v>118</v>
      </c>
    </row>
    <row r="62" spans="1:12" x14ac:dyDescent="0.25">
      <c r="A62" s="24"/>
      <c r="B62" s="4" t="s">
        <v>15</v>
      </c>
      <c r="C62" s="4"/>
      <c r="D62" s="11"/>
      <c r="E62" s="11"/>
      <c r="F62" s="11"/>
      <c r="G62" s="6"/>
      <c r="H62" s="6"/>
      <c r="I62" s="6"/>
      <c r="J62" s="6"/>
    </row>
    <row r="63" spans="1:12" x14ac:dyDescent="0.25">
      <c r="A63" s="24"/>
      <c r="B63" s="4" t="s">
        <v>19</v>
      </c>
      <c r="C63" s="4"/>
      <c r="D63" s="11"/>
      <c r="E63" s="11"/>
      <c r="F63" s="11"/>
      <c r="G63" s="6"/>
      <c r="H63" s="6"/>
      <c r="I63" s="6"/>
      <c r="J63" s="6"/>
    </row>
    <row r="64" spans="1:12" x14ac:dyDescent="0.25">
      <c r="A64" s="24"/>
      <c r="B64" s="4" t="s">
        <v>21</v>
      </c>
      <c r="C64" s="4"/>
      <c r="D64" s="8" t="s">
        <v>119</v>
      </c>
      <c r="E64" s="11"/>
      <c r="F64" s="11"/>
      <c r="G64" s="6"/>
      <c r="H64" s="6">
        <f t="shared" si="7"/>
        <v>0</v>
      </c>
      <c r="I64" s="6">
        <f t="shared" si="7"/>
        <v>0</v>
      </c>
      <c r="J64" s="6">
        <f>G64-G61</f>
        <v>0</v>
      </c>
    </row>
    <row r="65" spans="1:11" x14ac:dyDescent="0.25">
      <c r="A65" s="23" t="s">
        <v>64</v>
      </c>
      <c r="B65" s="4" t="s">
        <v>12</v>
      </c>
      <c r="C65" s="4"/>
      <c r="D65" s="8" t="s">
        <v>120</v>
      </c>
      <c r="E65" s="8">
        <v>244688.23</v>
      </c>
      <c r="F65" s="8">
        <v>313077.51</v>
      </c>
      <c r="G65" s="6">
        <v>343355.09</v>
      </c>
      <c r="H65" s="6"/>
      <c r="I65" s="6"/>
      <c r="J65" s="6"/>
      <c r="K65" s="7" t="s">
        <v>121</v>
      </c>
    </row>
    <row r="66" spans="1:11" x14ac:dyDescent="0.25">
      <c r="A66" s="23"/>
      <c r="B66" s="4" t="s">
        <v>15</v>
      </c>
      <c r="C66" s="4">
        <v>2</v>
      </c>
      <c r="D66" s="8" t="s">
        <v>122</v>
      </c>
      <c r="E66" s="8">
        <v>246199.97</v>
      </c>
      <c r="F66" s="8">
        <v>333940.36</v>
      </c>
      <c r="G66" s="6">
        <v>391673.95</v>
      </c>
      <c r="H66" s="6">
        <f>E66-E65</f>
        <v>1511.7399999999907</v>
      </c>
      <c r="I66" s="6">
        <f>F66-F65</f>
        <v>20862.849999999977</v>
      </c>
      <c r="J66" s="6">
        <f>G66-G65</f>
        <v>48318.859999999986</v>
      </c>
      <c r="K66" s="7" t="s">
        <v>123</v>
      </c>
    </row>
    <row r="67" spans="1:11" x14ac:dyDescent="0.25">
      <c r="A67" s="23"/>
      <c r="B67" s="4" t="s">
        <v>19</v>
      </c>
      <c r="C67" s="4"/>
      <c r="D67" s="8"/>
      <c r="E67" s="8"/>
      <c r="F67" s="8"/>
      <c r="G67" s="6"/>
      <c r="H67" s="6"/>
      <c r="I67" s="6"/>
      <c r="J67" s="6"/>
    </row>
    <row r="68" spans="1:11" x14ac:dyDescent="0.25">
      <c r="A68" s="23"/>
      <c r="B68" s="4" t="s">
        <v>21</v>
      </c>
      <c r="C68" s="4"/>
      <c r="D68" s="11"/>
      <c r="E68" s="11"/>
      <c r="F68" s="11"/>
      <c r="G68" s="6"/>
      <c r="H68" s="6"/>
      <c r="I68" s="6"/>
      <c r="J68" s="6"/>
    </row>
    <row r="69" spans="1:11" x14ac:dyDescent="0.25">
      <c r="A69" s="23" t="s">
        <v>70</v>
      </c>
      <c r="B69" s="4" t="s">
        <v>12</v>
      </c>
      <c r="C69" s="4"/>
      <c r="D69" s="8" t="s">
        <v>124</v>
      </c>
      <c r="E69" s="8">
        <v>16558274.859999999</v>
      </c>
      <c r="F69" s="8">
        <v>16687980.960000001</v>
      </c>
      <c r="G69" s="6">
        <v>16785049.120000001</v>
      </c>
      <c r="H69" s="6"/>
      <c r="I69" s="6"/>
      <c r="J69" s="6"/>
      <c r="K69" s="7" t="s">
        <v>125</v>
      </c>
    </row>
    <row r="70" spans="1:11" x14ac:dyDescent="0.25">
      <c r="A70" s="23"/>
      <c r="B70" s="4" t="s">
        <v>15</v>
      </c>
      <c r="C70" s="4"/>
      <c r="D70" s="11"/>
      <c r="E70" s="11"/>
      <c r="F70" s="11"/>
      <c r="G70" s="6"/>
      <c r="H70" s="6"/>
      <c r="I70" s="6"/>
      <c r="J70" s="6"/>
    </row>
    <row r="71" spans="1:11" x14ac:dyDescent="0.25">
      <c r="A71" s="23"/>
      <c r="B71" s="4" t="s">
        <v>19</v>
      </c>
      <c r="C71" s="4">
        <v>3</v>
      </c>
      <c r="D71" s="11"/>
      <c r="E71" s="11"/>
      <c r="F71" s="11"/>
      <c r="G71" s="6"/>
      <c r="H71" s="6">
        <v>1.518</v>
      </c>
      <c r="I71" s="6">
        <v>6.49</v>
      </c>
      <c r="J71" s="6">
        <v>11.662000000000001</v>
      </c>
      <c r="K71" s="7" t="s">
        <v>126</v>
      </c>
    </row>
    <row r="72" spans="1:11" x14ac:dyDescent="0.25">
      <c r="A72" s="23"/>
      <c r="B72" s="4" t="s">
        <v>21</v>
      </c>
      <c r="C72" s="4">
        <v>4</v>
      </c>
      <c r="D72" s="11"/>
      <c r="E72" s="11">
        <v>16558276.380000001</v>
      </c>
      <c r="F72" s="11">
        <v>16687987.460000001</v>
      </c>
      <c r="G72" s="6">
        <v>16785060.789999999</v>
      </c>
      <c r="H72" s="6">
        <f>E72-E69</f>
        <v>1.5200000014156103</v>
      </c>
      <c r="I72" s="6">
        <f>F72-F69</f>
        <v>6.5</v>
      </c>
      <c r="J72" s="6">
        <f>G72-G69</f>
        <v>11.669999998062849</v>
      </c>
      <c r="K72" s="7" t="s">
        <v>127</v>
      </c>
    </row>
    <row r="73" spans="1:11" x14ac:dyDescent="0.25">
      <c r="A73" s="23" t="s">
        <v>60</v>
      </c>
      <c r="B73" s="4" t="s">
        <v>12</v>
      </c>
      <c r="C73" s="4"/>
      <c r="D73" s="8" t="s">
        <v>128</v>
      </c>
      <c r="E73" s="8">
        <v>1835557.6</v>
      </c>
      <c r="F73" s="8">
        <v>1903164.13</v>
      </c>
      <c r="G73" s="6">
        <v>1951373.74</v>
      </c>
      <c r="H73" s="6"/>
      <c r="I73" s="6"/>
      <c r="J73" s="6"/>
      <c r="K73" s="7" t="s">
        <v>129</v>
      </c>
    </row>
    <row r="74" spans="1:11" x14ac:dyDescent="0.25">
      <c r="A74" s="23"/>
      <c r="B74" s="4" t="s">
        <v>15</v>
      </c>
      <c r="C74" s="4"/>
      <c r="D74" s="11"/>
      <c r="E74" s="11"/>
      <c r="F74" s="11"/>
      <c r="G74" s="6"/>
      <c r="H74" s="6"/>
      <c r="I74" s="6"/>
      <c r="J74" s="6"/>
    </row>
    <row r="75" spans="1:11" x14ac:dyDescent="0.25">
      <c r="A75" s="23"/>
      <c r="B75" s="4" t="s">
        <v>19</v>
      </c>
      <c r="C75" s="4"/>
      <c r="D75" s="11"/>
      <c r="E75" s="11"/>
      <c r="F75" s="11"/>
      <c r="G75" s="6"/>
      <c r="H75" s="6"/>
      <c r="I75" s="6"/>
      <c r="J75" s="6"/>
    </row>
    <row r="76" spans="1:11" x14ac:dyDescent="0.25">
      <c r="A76" s="23"/>
      <c r="B76" s="4" t="s">
        <v>21</v>
      </c>
      <c r="C76" s="4">
        <v>1</v>
      </c>
      <c r="D76" s="8" t="s">
        <v>130</v>
      </c>
      <c r="E76" s="8">
        <v>1835600.18</v>
      </c>
      <c r="F76" s="8">
        <v>1903276.03</v>
      </c>
      <c r="G76" s="6">
        <v>1951530.7</v>
      </c>
      <c r="H76" s="6">
        <f t="shared" ref="H76:I84" si="8">E76-E73</f>
        <v>42.579999999841675</v>
      </c>
      <c r="I76" s="6">
        <f t="shared" si="8"/>
        <v>111.9000000001397</v>
      </c>
      <c r="J76" s="6">
        <f>G76-G73</f>
        <v>156.95999999996275</v>
      </c>
      <c r="K76" s="7" t="s">
        <v>131</v>
      </c>
    </row>
    <row r="77" spans="1:11" ht="15" customHeight="1" x14ac:dyDescent="0.25">
      <c r="A77" s="24" t="s">
        <v>42</v>
      </c>
      <c r="B77" s="4" t="s">
        <v>12</v>
      </c>
      <c r="C77" s="4"/>
      <c r="D77" s="8" t="s">
        <v>132</v>
      </c>
      <c r="E77" s="8"/>
      <c r="F77" s="8"/>
      <c r="G77" s="6"/>
      <c r="H77" s="6"/>
      <c r="I77" s="6"/>
      <c r="J77" s="6"/>
      <c r="K77" s="7" t="s">
        <v>133</v>
      </c>
    </row>
    <row r="78" spans="1:11" x14ac:dyDescent="0.25">
      <c r="A78" s="24"/>
      <c r="B78" s="4" t="s">
        <v>15</v>
      </c>
      <c r="C78" s="4"/>
      <c r="D78" s="11"/>
      <c r="E78" s="11"/>
      <c r="F78" s="11"/>
      <c r="G78" s="6"/>
      <c r="H78" s="6"/>
      <c r="I78" s="6"/>
      <c r="J78" s="6"/>
    </row>
    <row r="79" spans="1:11" x14ac:dyDescent="0.25">
      <c r="A79" s="24"/>
      <c r="B79" s="4" t="s">
        <v>19</v>
      </c>
      <c r="C79" s="4"/>
      <c r="D79" s="11"/>
      <c r="E79" s="11"/>
      <c r="F79" s="11"/>
      <c r="G79" s="6"/>
      <c r="H79" s="6"/>
      <c r="I79" s="6"/>
      <c r="J79" s="6"/>
    </row>
    <row r="80" spans="1:11" x14ac:dyDescent="0.25">
      <c r="A80" s="24"/>
      <c r="B80" s="4" t="s">
        <v>21</v>
      </c>
      <c r="C80" s="4"/>
      <c r="D80" s="11"/>
      <c r="E80" s="11"/>
      <c r="F80" s="11"/>
      <c r="G80" s="6"/>
      <c r="H80" s="6"/>
      <c r="I80" s="6"/>
      <c r="J80" s="6"/>
    </row>
    <row r="81" spans="1:12" ht="14.25" customHeight="1" x14ac:dyDescent="0.25">
      <c r="A81" s="24" t="s">
        <v>77</v>
      </c>
      <c r="B81" s="4" t="s">
        <v>12</v>
      </c>
      <c r="C81" s="4"/>
      <c r="D81" s="8" t="s">
        <v>134</v>
      </c>
      <c r="E81" s="8">
        <v>2280445.61</v>
      </c>
      <c r="F81" s="8">
        <v>2291167.37</v>
      </c>
      <c r="G81" s="6">
        <v>2299307.63</v>
      </c>
      <c r="H81" s="6"/>
      <c r="I81" s="6"/>
      <c r="J81" s="6"/>
      <c r="K81" s="7" t="s">
        <v>135</v>
      </c>
    </row>
    <row r="82" spans="1:12" ht="14.25" customHeight="1" x14ac:dyDescent="0.25">
      <c r="A82" s="24"/>
      <c r="B82" s="4" t="s">
        <v>15</v>
      </c>
      <c r="C82" s="4"/>
      <c r="D82" s="11"/>
      <c r="E82" s="11"/>
      <c r="F82" s="11"/>
      <c r="G82" s="6"/>
      <c r="H82" s="6"/>
      <c r="I82" s="6"/>
      <c r="J82" s="6"/>
    </row>
    <row r="83" spans="1:12" ht="14.25" customHeight="1" x14ac:dyDescent="0.25">
      <c r="A83" s="24"/>
      <c r="B83" s="4" t="s">
        <v>19</v>
      </c>
      <c r="C83" s="4"/>
      <c r="D83" s="11"/>
      <c r="E83" s="11"/>
      <c r="F83" s="11"/>
      <c r="G83" s="6"/>
      <c r="H83" s="6"/>
      <c r="I83" s="6"/>
      <c r="J83" s="6"/>
    </row>
    <row r="84" spans="1:12" ht="14.25" customHeight="1" x14ac:dyDescent="0.25">
      <c r="A84" s="24"/>
      <c r="B84" s="4" t="s">
        <v>21</v>
      </c>
      <c r="C84" s="4">
        <v>1</v>
      </c>
      <c r="D84" s="11"/>
      <c r="E84" s="11">
        <v>2280448.83</v>
      </c>
      <c r="F84" s="11">
        <v>2291186.04</v>
      </c>
      <c r="G84" s="6">
        <v>2299344.58</v>
      </c>
      <c r="H84" s="6">
        <f t="shared" si="8"/>
        <v>3.220000000204891</v>
      </c>
      <c r="I84" s="6">
        <f>F84-F81</f>
        <v>18.669999999925494</v>
      </c>
      <c r="J84" s="6">
        <f>G84-G81</f>
        <v>36.950000000186265</v>
      </c>
      <c r="K84" s="7" t="s">
        <v>136</v>
      </c>
    </row>
    <row r="85" spans="1:12" x14ac:dyDescent="0.25">
      <c r="A85" s="24" t="s">
        <v>23</v>
      </c>
      <c r="B85" s="4" t="s">
        <v>12</v>
      </c>
      <c r="C85" s="4"/>
      <c r="D85" s="8" t="s">
        <v>137</v>
      </c>
      <c r="E85" s="8">
        <v>838899.94</v>
      </c>
      <c r="F85" s="8">
        <v>869594.11</v>
      </c>
      <c r="G85" s="6">
        <v>893820.37</v>
      </c>
      <c r="H85" s="6"/>
      <c r="I85" s="6"/>
      <c r="J85" s="6"/>
      <c r="K85" s="7" t="s">
        <v>138</v>
      </c>
    </row>
    <row r="86" spans="1:12" x14ac:dyDescent="0.25">
      <c r="A86" s="24"/>
      <c r="B86" s="4" t="s">
        <v>15</v>
      </c>
      <c r="C86" s="4"/>
      <c r="D86" s="11"/>
      <c r="E86" s="11"/>
      <c r="F86" s="11"/>
      <c r="G86" s="6"/>
      <c r="H86" s="6"/>
      <c r="I86" s="6"/>
      <c r="J86" s="6"/>
    </row>
    <row r="87" spans="1:12" x14ac:dyDescent="0.25">
      <c r="A87" s="24"/>
      <c r="B87" s="4" t="s">
        <v>19</v>
      </c>
      <c r="C87" s="4">
        <v>1</v>
      </c>
      <c r="D87" s="11"/>
      <c r="E87" s="11">
        <v>838964.81</v>
      </c>
      <c r="F87" s="11">
        <v>870608.54</v>
      </c>
      <c r="G87" s="6">
        <v>895696.63</v>
      </c>
      <c r="H87" s="6">
        <f>E87-$E$85</f>
        <v>64.870000000111759</v>
      </c>
      <c r="I87" s="6">
        <f>F87-$F$85</f>
        <v>1014.4300000000512</v>
      </c>
      <c r="J87" s="6">
        <f>G87-$G$85</f>
        <v>1876.2600000000093</v>
      </c>
      <c r="K87" s="7" t="s">
        <v>139</v>
      </c>
    </row>
    <row r="88" spans="1:12" x14ac:dyDescent="0.25">
      <c r="A88" s="24"/>
      <c r="B88" s="4" t="s">
        <v>21</v>
      </c>
      <c r="C88" s="4"/>
      <c r="D88" s="8" t="s">
        <v>140</v>
      </c>
      <c r="E88" s="8"/>
      <c r="F88" s="8"/>
      <c r="G88" s="6"/>
      <c r="H88" s="6"/>
      <c r="I88" s="6"/>
      <c r="J88" s="6"/>
    </row>
    <row r="89" spans="1:12" x14ac:dyDescent="0.25">
      <c r="A89" s="23" t="s">
        <v>82</v>
      </c>
      <c r="B89" s="4" t="s">
        <v>12</v>
      </c>
      <c r="C89" s="4"/>
      <c r="D89" s="8" t="s">
        <v>141</v>
      </c>
      <c r="E89" s="8"/>
      <c r="F89" s="8"/>
      <c r="G89" s="6"/>
      <c r="H89" s="6"/>
      <c r="I89" s="6"/>
      <c r="J89" s="6"/>
      <c r="K89" s="7" t="s">
        <v>142</v>
      </c>
      <c r="L89" s="15" t="s">
        <v>143</v>
      </c>
    </row>
    <row r="90" spans="1:12" x14ac:dyDescent="0.25">
      <c r="A90" s="23"/>
      <c r="B90" s="4" t="s">
        <v>15</v>
      </c>
      <c r="C90" s="4"/>
      <c r="D90" s="11"/>
      <c r="E90" s="11"/>
      <c r="F90" s="11"/>
      <c r="G90" s="6"/>
      <c r="H90" s="6"/>
      <c r="I90" s="6"/>
      <c r="J90" s="6"/>
    </row>
    <row r="91" spans="1:12" x14ac:dyDescent="0.25">
      <c r="A91" s="23"/>
      <c r="B91" s="4" t="s">
        <v>19</v>
      </c>
      <c r="C91" s="4"/>
      <c r="D91" s="11"/>
      <c r="E91" s="11"/>
      <c r="F91" s="11"/>
      <c r="G91" s="6"/>
      <c r="H91" s="6"/>
      <c r="I91" s="6"/>
      <c r="J91" s="6"/>
    </row>
    <row r="92" spans="1:12" x14ac:dyDescent="0.25">
      <c r="A92" s="23"/>
      <c r="B92" s="4" t="s">
        <v>21</v>
      </c>
      <c r="C92" s="4"/>
      <c r="D92" s="6"/>
      <c r="E92" s="6"/>
      <c r="F92" s="6"/>
      <c r="G92" s="6"/>
      <c r="H92" s="6"/>
      <c r="I92" s="6"/>
      <c r="J92" s="6"/>
    </row>
    <row r="93" spans="1:12" x14ac:dyDescent="0.25">
      <c r="A93" s="23" t="s">
        <v>87</v>
      </c>
      <c r="B93" s="4" t="s">
        <v>12</v>
      </c>
      <c r="C93" s="4"/>
      <c r="D93" s="8" t="s">
        <v>144</v>
      </c>
      <c r="E93" s="8"/>
      <c r="F93" s="8"/>
      <c r="G93" s="6"/>
      <c r="H93" s="8"/>
      <c r="I93" s="8"/>
      <c r="J93" s="8"/>
      <c r="K93" s="7" t="s">
        <v>145</v>
      </c>
    </row>
    <row r="94" spans="1:12" x14ac:dyDescent="0.25">
      <c r="A94" s="23"/>
      <c r="B94" s="4" t="s">
        <v>15</v>
      </c>
      <c r="C94" s="4"/>
      <c r="D94" s="11"/>
      <c r="E94" s="11"/>
      <c r="F94" s="11"/>
      <c r="G94" s="6"/>
      <c r="H94" s="6"/>
      <c r="I94" s="6"/>
      <c r="J94" s="6"/>
    </row>
    <row r="95" spans="1:12" x14ac:dyDescent="0.25">
      <c r="A95" s="23"/>
      <c r="B95" s="4" t="s">
        <v>19</v>
      </c>
      <c r="C95" s="4"/>
      <c r="D95" s="11"/>
      <c r="E95" s="11"/>
      <c r="F95" s="11"/>
      <c r="G95" s="6"/>
      <c r="H95" s="6"/>
      <c r="I95" s="6"/>
      <c r="J95" s="6"/>
    </row>
    <row r="96" spans="1:12" x14ac:dyDescent="0.25">
      <c r="A96" s="23"/>
      <c r="B96" s="4" t="s">
        <v>21</v>
      </c>
      <c r="C96" s="4"/>
      <c r="D96" s="8" t="s">
        <v>146</v>
      </c>
      <c r="E96" s="8"/>
      <c r="F96" s="8"/>
      <c r="G96" s="6"/>
      <c r="H96" s="6">
        <f t="shared" ref="H96:I96" si="9">E96-E93</f>
        <v>0</v>
      </c>
      <c r="I96" s="6">
        <f t="shared" si="9"/>
        <v>0</v>
      </c>
      <c r="J96" s="6">
        <f>G96-G93</f>
        <v>0</v>
      </c>
    </row>
    <row r="98" spans="2:10" x14ac:dyDescent="0.25">
      <c r="B98" s="3"/>
      <c r="H98" s="16"/>
      <c r="I98" s="16"/>
      <c r="J98" s="16"/>
    </row>
    <row r="99" spans="2:10" x14ac:dyDescent="0.25">
      <c r="B99" s="3"/>
      <c r="H99" s="16"/>
      <c r="I99" s="16"/>
      <c r="J99" s="16"/>
    </row>
  </sheetData>
  <autoFilter ref="A1:D96"/>
  <mergeCells count="24">
    <mergeCell ref="A81:A84"/>
    <mergeCell ref="A85:A88"/>
    <mergeCell ref="A89:A92"/>
    <mergeCell ref="A93:A96"/>
    <mergeCell ref="A61:A64"/>
    <mergeCell ref="A65:A68"/>
    <mergeCell ref="A69:A72"/>
    <mergeCell ref="A73:A76"/>
    <mergeCell ref="A77:A80"/>
    <mergeCell ref="A42:A45"/>
    <mergeCell ref="A46:A49"/>
    <mergeCell ref="A50:A53"/>
    <mergeCell ref="A54:A57"/>
    <mergeCell ref="A58:A60"/>
    <mergeCell ref="A22:A25"/>
    <mergeCell ref="A26:A29"/>
    <mergeCell ref="A30:A33"/>
    <mergeCell ref="A34:A37"/>
    <mergeCell ref="A38:A41"/>
    <mergeCell ref="A2:A5"/>
    <mergeCell ref="A6:A9"/>
    <mergeCell ref="A10:A13"/>
    <mergeCell ref="A14:A17"/>
    <mergeCell ref="A18:A21"/>
  </mergeCells>
  <conditionalFormatting sqref="H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J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J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4:J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7:J8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0:J1048576 J1:J3 H3:I3 K1 H14:J43 H88:I96 H87 J88:J97 H45:J86 H5:J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2" r:id="rId1"/>
    <hyperlink ref="K2" r:id="rId2"/>
    <hyperlink ref="K3" r:id="rId3"/>
    <hyperlink ref="K4" r:id="rId4"/>
    <hyperlink ref="K5" r:id="rId5"/>
    <hyperlink ref="D6" r:id="rId6"/>
    <hyperlink ref="K6" r:id="rId7"/>
    <hyperlink ref="K7" r:id="rId8"/>
    <hyperlink ref="K8" r:id="rId9"/>
    <hyperlink ref="K9" r:id="rId10"/>
    <hyperlink ref="D10" r:id="rId11"/>
    <hyperlink ref="K10" r:id="rId12"/>
    <hyperlink ref="K12" r:id="rId13"/>
    <hyperlink ref="K13" r:id="rId14"/>
    <hyperlink ref="D14" r:id="rId15"/>
    <hyperlink ref="K14" r:id="rId16"/>
    <hyperlink ref="K15" r:id="rId17"/>
    <hyperlink ref="K16" r:id="rId18"/>
    <hyperlink ref="K17" r:id="rId19"/>
    <hyperlink ref="D18" r:id="rId20"/>
    <hyperlink ref="K18" r:id="rId21"/>
    <hyperlink ref="K19" r:id="rId22"/>
    <hyperlink ref="K20" r:id="rId23"/>
    <hyperlink ref="K21" r:id="rId24"/>
    <hyperlink ref="D22" r:id="rId25"/>
    <hyperlink ref="K22" r:id="rId26"/>
    <hyperlink ref="K23" r:id="rId27"/>
    <hyperlink ref="K24" r:id="rId28"/>
    <hyperlink ref="K25" r:id="rId29"/>
    <hyperlink ref="D26" r:id="rId30"/>
    <hyperlink ref="K26" r:id="rId31"/>
    <hyperlink ref="K27" r:id="rId32"/>
    <hyperlink ref="K28" r:id="rId33"/>
    <hyperlink ref="K29" r:id="rId34"/>
    <hyperlink ref="D30" r:id="rId35"/>
    <hyperlink ref="K30" r:id="rId36"/>
    <hyperlink ref="K31" r:id="rId37"/>
    <hyperlink ref="K32" r:id="rId38"/>
    <hyperlink ref="K33" r:id="rId39"/>
    <hyperlink ref="D34" r:id="rId40"/>
    <hyperlink ref="K34" r:id="rId41"/>
    <hyperlink ref="K35" r:id="rId42"/>
    <hyperlink ref="K36" r:id="rId43"/>
    <hyperlink ref="K37" r:id="rId44"/>
    <hyperlink ref="D38" r:id="rId45"/>
    <hyperlink ref="K38" r:id="rId46"/>
    <hyperlink ref="K39" r:id="rId47"/>
    <hyperlink ref="D41" r:id="rId48"/>
    <hyperlink ref="D42" r:id="rId49"/>
    <hyperlink ref="K42" r:id="rId50"/>
    <hyperlink ref="K44" r:id="rId51"/>
    <hyperlink ref="D46" r:id="rId52"/>
    <hyperlink ref="K46" r:id="rId53"/>
    <hyperlink ref="D47" r:id="rId54"/>
    <hyperlink ref="D49" r:id="rId55"/>
    <hyperlink ref="D50" r:id="rId56"/>
    <hyperlink ref="K50" r:id="rId57"/>
    <hyperlink ref="K52" r:id="rId58"/>
    <hyperlink ref="K53" r:id="rId59"/>
    <hyperlink ref="D54" r:id="rId60"/>
    <hyperlink ref="K54" r:id="rId61"/>
    <hyperlink ref="D55" r:id="rId62"/>
    <hyperlink ref="K56" r:id="rId63"/>
    <hyperlink ref="D57" r:id="rId64"/>
    <hyperlink ref="K57" r:id="rId65"/>
    <hyperlink ref="D58" r:id="rId66"/>
    <hyperlink ref="K58" r:id="rId67"/>
    <hyperlink ref="D61" r:id="rId68"/>
    <hyperlink ref="K61" r:id="rId69"/>
    <hyperlink ref="D64" r:id="rId70"/>
    <hyperlink ref="D65" r:id="rId71"/>
    <hyperlink ref="K65" r:id="rId72"/>
    <hyperlink ref="D66" r:id="rId73"/>
    <hyperlink ref="K66" r:id="rId74"/>
    <hyperlink ref="D69" r:id="rId75"/>
    <hyperlink ref="K69" r:id="rId76"/>
    <hyperlink ref="K71" r:id="rId77"/>
    <hyperlink ref="K72" r:id="rId78"/>
    <hyperlink ref="D73" r:id="rId79"/>
    <hyperlink ref="K73" r:id="rId80"/>
    <hyperlink ref="D76" r:id="rId81"/>
    <hyperlink ref="K76" r:id="rId82"/>
    <hyperlink ref="D77" r:id="rId83"/>
    <hyperlink ref="K77" r:id="rId84"/>
    <hyperlink ref="D81" r:id="rId85"/>
    <hyperlink ref="K81" r:id="rId86"/>
    <hyperlink ref="K84" r:id="rId87"/>
    <hyperlink ref="D85" r:id="rId88"/>
    <hyperlink ref="K85" r:id="rId89"/>
    <hyperlink ref="K87" r:id="rId90"/>
    <hyperlink ref="D88" r:id="rId91"/>
    <hyperlink ref="D89" r:id="rId92"/>
    <hyperlink ref="K89" r:id="rId93"/>
    <hyperlink ref="D93" r:id="rId94"/>
    <hyperlink ref="K93" r:id="rId95"/>
    <hyperlink ref="D96" r:id="rId96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25"/>
  <sheetViews>
    <sheetView workbookViewId="0">
      <selection sqref="A1:D1"/>
    </sheetView>
  </sheetViews>
  <sheetFormatPr defaultRowHeight="15" x14ac:dyDescent="0.25"/>
  <cols>
    <col min="1" max="1" width="19.5703125" customWidth="1"/>
    <col min="2" max="2" width="17.7109375" bestFit="1" customWidth="1"/>
    <col min="3" max="3" width="28.7109375" bestFit="1" customWidth="1"/>
    <col min="4" max="4" width="28.140625" customWidth="1"/>
    <col min="5" max="5" width="28.7109375" hidden="1" customWidth="1"/>
    <col min="6" max="6" width="29.85546875" hidden="1" customWidth="1"/>
    <col min="7" max="7" width="28.85546875" hidden="1" customWidth="1"/>
    <col min="8" max="8" width="16.7109375" bestFit="1" customWidth="1"/>
    <col min="9" max="9" width="17.85546875" bestFit="1" customWidth="1"/>
    <col min="10" max="10" width="16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147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5" t="s">
        <v>148</v>
      </c>
      <c r="B2" s="4" t="s">
        <v>12</v>
      </c>
      <c r="D2" s="7" t="s">
        <v>149</v>
      </c>
      <c r="E2">
        <v>59698509.490000002</v>
      </c>
      <c r="F2">
        <v>59939059.399999999</v>
      </c>
      <c r="G2">
        <v>60123688.880000003</v>
      </c>
    </row>
    <row r="3" spans="1:10" hidden="1" x14ac:dyDescent="0.25">
      <c r="A3" s="26"/>
      <c r="B3" s="4" t="s">
        <v>15</v>
      </c>
      <c r="C3">
        <v>3</v>
      </c>
      <c r="D3" s="7" t="s">
        <v>150</v>
      </c>
      <c r="E3">
        <v>59698509.490000002</v>
      </c>
      <c r="F3">
        <v>59939059.399999999</v>
      </c>
      <c r="G3">
        <v>60123688.880000003</v>
      </c>
      <c r="H3">
        <v>1052.4120396785147</v>
      </c>
      <c r="I3">
        <v>1904.3967003678554</v>
      </c>
      <c r="J3">
        <v>2285.8127963152947</v>
      </c>
    </row>
    <row r="4" spans="1:10" hidden="1" x14ac:dyDescent="0.25">
      <c r="A4" s="26"/>
      <c r="B4" s="4" t="s">
        <v>19</v>
      </c>
      <c r="C4">
        <v>4</v>
      </c>
      <c r="D4" s="7" t="s">
        <v>151</v>
      </c>
      <c r="E4">
        <v>59701312.960000001</v>
      </c>
      <c r="F4">
        <v>59948599.950000003</v>
      </c>
      <c r="G4">
        <v>60141168.149999999</v>
      </c>
      <c r="H4">
        <v>2066.6031992610078</v>
      </c>
      <c r="I4">
        <v>5522.9090667359997</v>
      </c>
      <c r="J4">
        <v>11415.122403452289</v>
      </c>
    </row>
    <row r="5" spans="1:10" ht="30" hidden="1" x14ac:dyDescent="0.25">
      <c r="A5" s="26"/>
      <c r="B5" s="4" t="s">
        <v>152</v>
      </c>
      <c r="C5">
        <v>10</v>
      </c>
      <c r="D5" s="7" t="s">
        <v>153</v>
      </c>
      <c r="E5">
        <v>59701250.969999999</v>
      </c>
      <c r="F5">
        <v>59949061.979999997</v>
      </c>
      <c r="G5">
        <v>60142160.390000001</v>
      </c>
      <c r="H5">
        <v>736.87305016789469</v>
      </c>
      <c r="I5">
        <v>4017.638458158297</v>
      </c>
      <c r="J5">
        <v>15615.756177980686</v>
      </c>
    </row>
    <row r="6" spans="1:10" x14ac:dyDescent="0.25">
      <c r="A6" s="25" t="s">
        <v>154</v>
      </c>
      <c r="B6" s="4" t="s">
        <v>12</v>
      </c>
      <c r="D6" s="7" t="s">
        <v>155</v>
      </c>
      <c r="E6">
        <v>49435914.549999997</v>
      </c>
      <c r="F6">
        <v>49942099.479999997</v>
      </c>
      <c r="G6">
        <v>50336352.310000002</v>
      </c>
    </row>
    <row r="7" spans="1:10" hidden="1" x14ac:dyDescent="0.25">
      <c r="A7" s="26"/>
      <c r="B7" s="4" t="s">
        <v>15</v>
      </c>
      <c r="C7">
        <v>1</v>
      </c>
      <c r="D7" s="7" t="s">
        <v>156</v>
      </c>
      <c r="E7">
        <v>49435921.920000002</v>
      </c>
      <c r="F7">
        <v>49942212.82</v>
      </c>
      <c r="G7">
        <v>50336928.240000002</v>
      </c>
      <c r="H7">
        <f>E7-E6</f>
        <v>7.3700000047683716</v>
      </c>
      <c r="I7">
        <f>F7-F6</f>
        <v>113.34000000357628</v>
      </c>
      <c r="J7">
        <f>G7-G6</f>
        <v>575.92999999970198</v>
      </c>
    </row>
    <row r="8" spans="1:10" hidden="1" x14ac:dyDescent="0.25">
      <c r="A8" s="26"/>
      <c r="B8" s="4" t="s">
        <v>19</v>
      </c>
      <c r="C8">
        <v>7</v>
      </c>
      <c r="D8" s="7" t="s">
        <v>157</v>
      </c>
      <c r="E8">
        <v>49433946.229999997</v>
      </c>
      <c r="F8">
        <v>49937727.710000001</v>
      </c>
      <c r="G8">
        <v>50331080.869999997</v>
      </c>
      <c r="H8">
        <f>E8-E6</f>
        <v>-1968.320000000298</v>
      </c>
      <c r="I8">
        <f>F8-F6</f>
        <v>-4371.7699999958277</v>
      </c>
      <c r="J8">
        <f>G8-G6</f>
        <v>-5271.4400000050664</v>
      </c>
    </row>
    <row r="9" spans="1:10" ht="30" hidden="1" x14ac:dyDescent="0.25">
      <c r="A9" s="26"/>
      <c r="B9" s="4" t="s">
        <v>152</v>
      </c>
      <c r="C9">
        <v>12</v>
      </c>
      <c r="D9" s="7" t="s">
        <v>158</v>
      </c>
      <c r="E9">
        <v>49433555.450000003</v>
      </c>
      <c r="F9">
        <v>49936735.030000001</v>
      </c>
      <c r="G9">
        <v>50329621.109999999</v>
      </c>
      <c r="H9">
        <f>E9-E6</f>
        <v>-2359.0999999940395</v>
      </c>
      <c r="I9">
        <f>F9-F6</f>
        <v>-5364.4499999955297</v>
      </c>
      <c r="J9">
        <f>G9-G6</f>
        <v>-6731.2000000029802</v>
      </c>
    </row>
    <row r="10" spans="1:10" x14ac:dyDescent="0.25">
      <c r="A10" s="25" t="s">
        <v>159</v>
      </c>
      <c r="B10" s="4" t="s">
        <v>12</v>
      </c>
      <c r="D10" s="7" t="s">
        <v>160</v>
      </c>
      <c r="E10">
        <v>245462333.69999999</v>
      </c>
      <c r="F10">
        <v>246311759.61000001</v>
      </c>
      <c r="G10">
        <v>247000174.47999999</v>
      </c>
    </row>
    <row r="11" spans="1:10" hidden="1" x14ac:dyDescent="0.25">
      <c r="A11" s="26"/>
      <c r="B11" s="4" t="s">
        <v>15</v>
      </c>
      <c r="C11">
        <v>3</v>
      </c>
      <c r="D11" s="7" t="s">
        <v>161</v>
      </c>
      <c r="E11">
        <v>245459997.80000001</v>
      </c>
      <c r="F11">
        <v>246305780.52000001</v>
      </c>
      <c r="G11">
        <v>246991099.62</v>
      </c>
      <c r="H11">
        <f>E11-E10</f>
        <v>-2335.8999999761581</v>
      </c>
      <c r="I11">
        <f>F11-F10</f>
        <v>-5979.0900000035763</v>
      </c>
      <c r="J11">
        <f>G11-G10</f>
        <v>-9074.8599999845028</v>
      </c>
    </row>
    <row r="12" spans="1:10" hidden="1" x14ac:dyDescent="0.25">
      <c r="A12" s="26"/>
      <c r="B12" s="4" t="s">
        <v>19</v>
      </c>
      <c r="C12">
        <v>7</v>
      </c>
      <c r="D12" s="7" t="s">
        <v>162</v>
      </c>
      <c r="E12">
        <v>245460226.34</v>
      </c>
      <c r="F12">
        <v>246306334.34</v>
      </c>
      <c r="G12">
        <v>246992000.61000001</v>
      </c>
      <c r="H12">
        <f>E12-E10</f>
        <v>-2107.3599999845028</v>
      </c>
      <c r="I12">
        <f>F12-F10</f>
        <v>-5425.2700000107288</v>
      </c>
      <c r="J12">
        <f>G12-G10</f>
        <v>-8173.869999974966</v>
      </c>
    </row>
    <row r="13" spans="1:10" ht="30" hidden="1" x14ac:dyDescent="0.25">
      <c r="A13" s="26"/>
      <c r="B13" s="4" t="s">
        <v>152</v>
      </c>
      <c r="C13">
        <v>14</v>
      </c>
      <c r="D13" s="7" t="s">
        <v>163</v>
      </c>
      <c r="E13">
        <v>245458484.93000001</v>
      </c>
      <c r="F13">
        <v>246302260</v>
      </c>
      <c r="G13">
        <v>246986356.16999999</v>
      </c>
      <c r="H13">
        <f>E13-E10</f>
        <v>-3848.7699999809265</v>
      </c>
      <c r="I13">
        <f>F13-F10</f>
        <v>-9499.6100000143051</v>
      </c>
      <c r="J13">
        <f>G13-G10</f>
        <v>-13818.310000002384</v>
      </c>
    </row>
    <row r="14" spans="1:10" x14ac:dyDescent="0.25">
      <c r="A14" s="25" t="s">
        <v>164</v>
      </c>
      <c r="B14" s="4" t="s">
        <v>12</v>
      </c>
      <c r="D14" s="7" t="s">
        <v>165</v>
      </c>
      <c r="E14">
        <v>48565983.340000004</v>
      </c>
      <c r="F14">
        <v>49301740.619999997</v>
      </c>
      <c r="G14">
        <v>49898723.259999998</v>
      </c>
    </row>
    <row r="15" spans="1:10" hidden="1" x14ac:dyDescent="0.25">
      <c r="A15" s="26"/>
      <c r="B15" s="4" t="s">
        <v>15</v>
      </c>
      <c r="C15">
        <v>10</v>
      </c>
      <c r="D15" s="7" t="s">
        <v>166</v>
      </c>
      <c r="E15">
        <v>48565983.340000004</v>
      </c>
      <c r="F15">
        <v>49301740.619999997</v>
      </c>
      <c r="G15">
        <v>49898723.259999998</v>
      </c>
      <c r="H15">
        <f>E15-E14</f>
        <v>0</v>
      </c>
      <c r="I15">
        <f>F15-F14</f>
        <v>0</v>
      </c>
      <c r="J15">
        <f>G15-G14</f>
        <v>0</v>
      </c>
    </row>
    <row r="16" spans="1:10" hidden="1" x14ac:dyDescent="0.25">
      <c r="A16" s="26"/>
      <c r="B16" s="4" t="s">
        <v>19</v>
      </c>
      <c r="C16">
        <v>3</v>
      </c>
      <c r="D16" s="7" t="s">
        <v>167</v>
      </c>
      <c r="E16">
        <v>48564979.100000001</v>
      </c>
      <c r="F16">
        <v>49299339.579999998</v>
      </c>
      <c r="G16">
        <v>49895493.490000002</v>
      </c>
      <c r="H16">
        <f>E16-E14</f>
        <v>-1004.2400000020862</v>
      </c>
      <c r="I16">
        <f>F16-F14</f>
        <v>-2401.0399999991059</v>
      </c>
      <c r="J16">
        <f>G16-G14</f>
        <v>-3229.7699999958277</v>
      </c>
    </row>
    <row r="17" spans="1:10" ht="30" hidden="1" x14ac:dyDescent="0.25">
      <c r="A17" s="26"/>
      <c r="B17" s="4" t="s">
        <v>152</v>
      </c>
      <c r="C17">
        <v>13</v>
      </c>
      <c r="D17" s="7" t="s">
        <v>168</v>
      </c>
      <c r="E17">
        <v>48565045.57</v>
      </c>
      <c r="F17">
        <v>49300496.740000002</v>
      </c>
      <c r="G17">
        <v>49898307.68</v>
      </c>
      <c r="H17">
        <f>E17-E14</f>
        <v>-937.77000000327826</v>
      </c>
      <c r="I17">
        <f>F17-F14</f>
        <v>-1243.8799999952316</v>
      </c>
      <c r="J17">
        <f>G17-G14</f>
        <v>-415.57999999821186</v>
      </c>
    </row>
    <row r="18" spans="1:10" x14ac:dyDescent="0.25">
      <c r="A18" s="25" t="s">
        <v>169</v>
      </c>
      <c r="B18" s="4" t="s">
        <v>12</v>
      </c>
      <c r="D18" s="7" t="s">
        <v>170</v>
      </c>
      <c r="E18">
        <v>13492137.68</v>
      </c>
      <c r="F18">
        <v>14422232.57</v>
      </c>
      <c r="G18">
        <v>15060304.529999999</v>
      </c>
    </row>
    <row r="19" spans="1:10" hidden="1" x14ac:dyDescent="0.25">
      <c r="A19" s="26"/>
      <c r="B19" s="4" t="s">
        <v>15</v>
      </c>
      <c r="C19">
        <v>26</v>
      </c>
      <c r="D19" s="7" t="s">
        <v>171</v>
      </c>
      <c r="E19">
        <v>13492200.15</v>
      </c>
      <c r="F19">
        <v>14438461.880000001</v>
      </c>
      <c r="G19">
        <v>15091506.560000001</v>
      </c>
      <c r="H19">
        <f>E19-E18</f>
        <v>62.470000000670552</v>
      </c>
      <c r="I19">
        <f>F19-F18</f>
        <v>16229.310000000522</v>
      </c>
      <c r="J19">
        <f>G19-G18</f>
        <v>31202.030000001192</v>
      </c>
    </row>
    <row r="20" spans="1:10" hidden="1" x14ac:dyDescent="0.25">
      <c r="A20" s="26"/>
      <c r="B20" s="4" t="s">
        <v>19</v>
      </c>
      <c r="C20">
        <v>11</v>
      </c>
      <c r="D20" s="7" t="s">
        <v>172</v>
      </c>
      <c r="E20">
        <v>13486945.609999999</v>
      </c>
      <c r="F20">
        <v>14424834.470000001</v>
      </c>
      <c r="G20">
        <v>15073386.25</v>
      </c>
      <c r="H20">
        <f>E20-E18</f>
        <v>-5192.070000000298</v>
      </c>
      <c r="I20">
        <f>F20-F18</f>
        <v>2601.9000000003725</v>
      </c>
      <c r="J20">
        <f>G20-G18</f>
        <v>13081.720000000671</v>
      </c>
    </row>
    <row r="21" spans="1:10" ht="30" hidden="1" x14ac:dyDescent="0.25">
      <c r="A21" s="26"/>
      <c r="B21" s="4" t="s">
        <v>152</v>
      </c>
      <c r="C21">
        <v>37</v>
      </c>
      <c r="D21" s="7" t="s">
        <v>173</v>
      </c>
      <c r="E21">
        <v>13488111.82</v>
      </c>
      <c r="F21">
        <v>14445210.289999999</v>
      </c>
      <c r="G21">
        <v>15111595.02</v>
      </c>
      <c r="H21">
        <f>E21-E18</f>
        <v>-4025.859999999404</v>
      </c>
      <c r="I21">
        <f>F21-F18</f>
        <v>22977.719999998808</v>
      </c>
      <c r="J21">
        <f>G21-G18</f>
        <v>51290.490000000224</v>
      </c>
    </row>
    <row r="22" spans="1:10" x14ac:dyDescent="0.25">
      <c r="A22" s="25" t="s">
        <v>174</v>
      </c>
      <c r="B22" s="4" t="s">
        <v>12</v>
      </c>
      <c r="D22" s="7" t="s">
        <v>175</v>
      </c>
      <c r="E22">
        <v>51261531.219999999</v>
      </c>
      <c r="F22">
        <v>53030210.350000001</v>
      </c>
      <c r="G22">
        <v>54440217.170000002</v>
      </c>
    </row>
    <row r="23" spans="1:10" hidden="1" x14ac:dyDescent="0.25">
      <c r="A23" s="26"/>
      <c r="B23" s="4" t="s">
        <v>15</v>
      </c>
      <c r="C23">
        <v>17</v>
      </c>
      <c r="D23" s="7" t="s">
        <v>176</v>
      </c>
      <c r="E23">
        <v>51261839.140000001</v>
      </c>
      <c r="F23">
        <v>53042888.020000003</v>
      </c>
      <c r="G23">
        <v>54469725.420000002</v>
      </c>
      <c r="H23">
        <f>E23-E22</f>
        <v>307.92000000178814</v>
      </c>
      <c r="I23">
        <f>F23-F22</f>
        <v>12677.670000001788</v>
      </c>
      <c r="J23">
        <f>G23-G22</f>
        <v>29508.25</v>
      </c>
    </row>
    <row r="24" spans="1:10" hidden="1" x14ac:dyDescent="0.25">
      <c r="A24" s="26"/>
      <c r="B24" s="4" t="s">
        <v>19</v>
      </c>
      <c r="C24">
        <v>4</v>
      </c>
      <c r="D24" s="7" t="s">
        <v>177</v>
      </c>
      <c r="E24">
        <v>51266036.119999997</v>
      </c>
      <c r="F24">
        <v>53043248.950000003</v>
      </c>
      <c r="G24">
        <v>54462379</v>
      </c>
      <c r="H24">
        <f>E24-E22</f>
        <v>4504.8999999985099</v>
      </c>
      <c r="I24">
        <f>F24-F22</f>
        <v>13038.60000000149</v>
      </c>
      <c r="J24">
        <f>G24-G22</f>
        <v>22161.829999998212</v>
      </c>
    </row>
    <row r="25" spans="1:10" ht="30" hidden="1" x14ac:dyDescent="0.25">
      <c r="A25" s="26"/>
      <c r="B25" s="4" t="s">
        <v>152</v>
      </c>
      <c r="C25">
        <v>23</v>
      </c>
      <c r="D25" s="7" t="s">
        <v>178</v>
      </c>
      <c r="E25">
        <v>51266925.600000001</v>
      </c>
      <c r="F25">
        <v>53060963.200000003</v>
      </c>
      <c r="G25">
        <v>54503374.759999998</v>
      </c>
      <c r="H25">
        <f>E25-E22</f>
        <v>5394.3800000026822</v>
      </c>
      <c r="I25">
        <f>F25-F22</f>
        <v>30752.85000000149</v>
      </c>
      <c r="J25">
        <f>G25-G22</f>
        <v>63157.589999996126</v>
      </c>
    </row>
  </sheetData>
  <autoFilter ref="A1:J25">
    <filterColumn colId="1">
      <filters>
        <filter val="База"/>
      </filters>
    </filterColumn>
  </autoFilter>
  <mergeCells count="6">
    <mergeCell ref="A22:A25"/>
    <mergeCell ref="A2:A5"/>
    <mergeCell ref="A6:A9"/>
    <mergeCell ref="A10:A13"/>
    <mergeCell ref="A14:A17"/>
    <mergeCell ref="A18:A21"/>
  </mergeCells>
  <conditionalFormatting sqref="H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7"/>
  <sheetViews>
    <sheetView zoomScale="70" zoomScaleNormal="70" workbookViewId="0">
      <selection activeCell="J9" sqref="J9"/>
    </sheetView>
  </sheetViews>
  <sheetFormatPr defaultRowHeight="15" x14ac:dyDescent="0.25"/>
  <cols>
    <col min="1" max="1" width="8.85546875" customWidth="1"/>
    <col min="2" max="2" width="16" bestFit="1" customWidth="1"/>
    <col min="3" max="3" width="15.140625" customWidth="1"/>
    <col min="4" max="4" width="16.85546875" customWidth="1"/>
    <col min="5" max="5" width="40.7109375" customWidth="1"/>
    <col min="6" max="6" width="38.140625" customWidth="1"/>
    <col min="7" max="7" width="41.140625" customWidth="1"/>
    <col min="8" max="8" width="41.42578125" bestFit="1" customWidth="1"/>
    <col min="9" max="9" width="39.85546875" customWidth="1"/>
  </cols>
  <sheetData>
    <row r="1" spans="1:9" s="17" customFormat="1" ht="40.9" customHeight="1" x14ac:dyDescent="0.25">
      <c r="A1" s="17" t="s">
        <v>179</v>
      </c>
      <c r="B1" s="17" t="s">
        <v>0</v>
      </c>
      <c r="C1" s="17" t="s">
        <v>180</v>
      </c>
      <c r="D1" s="17" t="s">
        <v>181</v>
      </c>
      <c r="E1" s="17" t="s">
        <v>182</v>
      </c>
      <c r="F1" s="17" t="s">
        <v>183</v>
      </c>
      <c r="G1" s="17" t="s">
        <v>184</v>
      </c>
      <c r="H1" s="17" t="s">
        <v>185</v>
      </c>
      <c r="I1" s="17" t="s">
        <v>186</v>
      </c>
    </row>
    <row r="2" spans="1:9" x14ac:dyDescent="0.25">
      <c r="A2" t="s">
        <v>187</v>
      </c>
      <c r="B2" t="s">
        <v>191</v>
      </c>
      <c r="C2" t="s">
        <v>203</v>
      </c>
      <c r="D2">
        <v>467.2</v>
      </c>
      <c r="E2">
        <v>338.71613039742641</v>
      </c>
      <c r="F2">
        <v>326.41387477113602</v>
      </c>
      <c r="G2">
        <v>329.4936482103405</v>
      </c>
      <c r="H2">
        <v>11.766733628032529</v>
      </c>
      <c r="I2">
        <v>32.077836214542167</v>
      </c>
    </row>
    <row r="3" spans="1:9" x14ac:dyDescent="0.25">
      <c r="A3" t="s">
        <v>187</v>
      </c>
      <c r="B3" t="s">
        <v>27</v>
      </c>
      <c r="C3" t="s">
        <v>207</v>
      </c>
      <c r="D3">
        <v>268.2</v>
      </c>
      <c r="E3">
        <v>190.2717119571696</v>
      </c>
      <c r="F3">
        <v>187.39614294484591</v>
      </c>
      <c r="H3">
        <v>96.543892285865525</v>
      </c>
    </row>
    <row r="4" spans="1:9" x14ac:dyDescent="0.25">
      <c r="A4" t="s">
        <v>187</v>
      </c>
      <c r="B4" t="s">
        <v>27</v>
      </c>
      <c r="C4" t="s">
        <v>208</v>
      </c>
      <c r="D4">
        <v>271.2</v>
      </c>
      <c r="E4">
        <v>200.92830011717709</v>
      </c>
      <c r="F4">
        <v>196.05020040267621</v>
      </c>
      <c r="H4">
        <v>0</v>
      </c>
    </row>
    <row r="5" spans="1:9" x14ac:dyDescent="0.25">
      <c r="A5" t="s">
        <v>187</v>
      </c>
      <c r="B5" t="s">
        <v>27</v>
      </c>
      <c r="C5" t="s">
        <v>209</v>
      </c>
      <c r="D5">
        <v>262.10000000000002</v>
      </c>
      <c r="E5">
        <v>202.44954504769581</v>
      </c>
      <c r="F5">
        <v>187.79342219553271</v>
      </c>
      <c r="H5">
        <v>56.183466204638357</v>
      </c>
    </row>
    <row r="6" spans="1:9" x14ac:dyDescent="0.25">
      <c r="A6" t="s">
        <v>187</v>
      </c>
      <c r="B6" t="s">
        <v>194</v>
      </c>
      <c r="C6" t="s">
        <v>210</v>
      </c>
      <c r="D6">
        <v>214</v>
      </c>
      <c r="E6">
        <v>194.56296750570809</v>
      </c>
      <c r="F6">
        <v>180.33044629428861</v>
      </c>
      <c r="G6">
        <v>398.95508208530208</v>
      </c>
      <c r="H6">
        <v>0</v>
      </c>
      <c r="I6">
        <v>2409.070293956911</v>
      </c>
    </row>
    <row r="7" spans="1:9" x14ac:dyDescent="0.25">
      <c r="A7" t="s">
        <v>187</v>
      </c>
      <c r="B7" t="s">
        <v>194</v>
      </c>
      <c r="C7" t="s">
        <v>211</v>
      </c>
      <c r="D7">
        <v>309</v>
      </c>
      <c r="E7">
        <v>296.15353571139389</v>
      </c>
      <c r="F7">
        <v>294.27039334343442</v>
      </c>
      <c r="G7">
        <v>294.27039334343442</v>
      </c>
      <c r="H7">
        <v>0</v>
      </c>
      <c r="I7">
        <v>0</v>
      </c>
    </row>
    <row r="8" spans="1:9" x14ac:dyDescent="0.25">
      <c r="A8" t="s">
        <v>187</v>
      </c>
      <c r="B8" t="s">
        <v>194</v>
      </c>
      <c r="C8" t="s">
        <v>212</v>
      </c>
      <c r="D8">
        <v>309</v>
      </c>
      <c r="E8">
        <v>304.76014235925498</v>
      </c>
      <c r="F8">
        <v>297.37892255288091</v>
      </c>
      <c r="G8">
        <v>297.37892708491728</v>
      </c>
      <c r="H8">
        <v>58.797303382434777</v>
      </c>
      <c r="I8">
        <v>58.797303382434777</v>
      </c>
    </row>
    <row r="9" spans="1:9" x14ac:dyDescent="0.25">
      <c r="A9" t="s">
        <v>187</v>
      </c>
      <c r="B9" t="s">
        <v>194</v>
      </c>
      <c r="C9" t="s">
        <v>213</v>
      </c>
      <c r="D9">
        <v>245</v>
      </c>
      <c r="E9">
        <v>223.130710055967</v>
      </c>
      <c r="F9">
        <v>219.29770254601391</v>
      </c>
      <c r="G9">
        <v>219.2977024765618</v>
      </c>
      <c r="H9">
        <v>14.67539120591884</v>
      </c>
      <c r="I9">
        <v>14.67539120591884</v>
      </c>
    </row>
    <row r="10" spans="1:9" x14ac:dyDescent="0.25">
      <c r="A10" t="s">
        <v>187</v>
      </c>
      <c r="B10" t="s">
        <v>194</v>
      </c>
      <c r="C10" t="s">
        <v>214</v>
      </c>
      <c r="D10">
        <v>245</v>
      </c>
      <c r="E10">
        <v>238.4848457106946</v>
      </c>
      <c r="F10">
        <v>237.07078605071311</v>
      </c>
      <c r="G10">
        <v>237.0707860507132</v>
      </c>
      <c r="H10">
        <v>27.53323202285306</v>
      </c>
      <c r="I10">
        <v>27.53323202285306</v>
      </c>
    </row>
    <row r="11" spans="1:9" x14ac:dyDescent="0.25">
      <c r="A11" t="s">
        <v>187</v>
      </c>
      <c r="B11" t="s">
        <v>194</v>
      </c>
      <c r="C11" t="s">
        <v>215</v>
      </c>
      <c r="D11">
        <v>245</v>
      </c>
      <c r="E11">
        <v>241.64035770691581</v>
      </c>
      <c r="F11">
        <v>241.19770549024801</v>
      </c>
      <c r="G11">
        <v>241.19770549024801</v>
      </c>
      <c r="H11">
        <v>0</v>
      </c>
      <c r="I11">
        <v>0</v>
      </c>
    </row>
    <row r="12" spans="1:9" x14ac:dyDescent="0.25">
      <c r="A12" t="s">
        <v>187</v>
      </c>
      <c r="B12" t="s">
        <v>194</v>
      </c>
      <c r="C12" t="s">
        <v>216</v>
      </c>
      <c r="D12">
        <v>234</v>
      </c>
      <c r="E12">
        <v>224.8483437310806</v>
      </c>
      <c r="F12">
        <v>222.84387736110349</v>
      </c>
      <c r="G12">
        <v>222.84387736110349</v>
      </c>
      <c r="H12">
        <v>0</v>
      </c>
      <c r="I12">
        <v>0</v>
      </c>
    </row>
    <row r="13" spans="1:9" x14ac:dyDescent="0.25">
      <c r="A13" t="s">
        <v>187</v>
      </c>
      <c r="B13" t="s">
        <v>194</v>
      </c>
      <c r="C13" t="s">
        <v>217</v>
      </c>
      <c r="D13">
        <v>245</v>
      </c>
      <c r="E13">
        <v>241.29316147281119</v>
      </c>
      <c r="F13">
        <v>232.5316412013932</v>
      </c>
      <c r="G13">
        <v>249.89510378581741</v>
      </c>
      <c r="H13">
        <v>0</v>
      </c>
      <c r="I13">
        <v>207.94507717290881</v>
      </c>
    </row>
    <row r="14" spans="1:9" x14ac:dyDescent="0.25">
      <c r="A14" t="s">
        <v>187</v>
      </c>
      <c r="B14" t="s">
        <v>194</v>
      </c>
      <c r="C14" t="s">
        <v>218</v>
      </c>
      <c r="D14">
        <v>245</v>
      </c>
      <c r="E14">
        <v>244.0361874863348</v>
      </c>
      <c r="F14">
        <v>244.00272689065051</v>
      </c>
      <c r="G14">
        <v>244.04154749037869</v>
      </c>
      <c r="H14">
        <v>148.03731293866679</v>
      </c>
      <c r="I14">
        <v>158.29695223290929</v>
      </c>
    </row>
    <row r="15" spans="1:9" x14ac:dyDescent="0.25">
      <c r="A15" t="s">
        <v>187</v>
      </c>
      <c r="B15" t="s">
        <v>194</v>
      </c>
      <c r="C15" t="s">
        <v>219</v>
      </c>
      <c r="D15">
        <v>245</v>
      </c>
      <c r="E15">
        <v>242.785315806862</v>
      </c>
      <c r="F15">
        <v>240.89471420928851</v>
      </c>
      <c r="G15">
        <v>240.89471420928851</v>
      </c>
      <c r="H15">
        <v>0</v>
      </c>
      <c r="I15">
        <v>0</v>
      </c>
    </row>
    <row r="16" spans="1:9" x14ac:dyDescent="0.25">
      <c r="A16" t="s">
        <v>187</v>
      </c>
      <c r="B16" t="s">
        <v>194</v>
      </c>
      <c r="C16" t="s">
        <v>199</v>
      </c>
      <c r="D16">
        <v>255</v>
      </c>
      <c r="E16">
        <v>226.61403460315299</v>
      </c>
      <c r="F16">
        <v>224.91924841209769</v>
      </c>
      <c r="G16">
        <v>225.17135281675601</v>
      </c>
      <c r="H16">
        <v>34.515010874742977</v>
      </c>
      <c r="I16">
        <v>45.398580484229832</v>
      </c>
    </row>
    <row r="17" spans="1:9" x14ac:dyDescent="0.25">
      <c r="A17" t="s">
        <v>187</v>
      </c>
      <c r="B17" t="s">
        <v>194</v>
      </c>
      <c r="C17" t="s">
        <v>220</v>
      </c>
      <c r="D17">
        <v>255</v>
      </c>
      <c r="E17">
        <v>250.6447510384717</v>
      </c>
      <c r="F17">
        <v>249.79299503211999</v>
      </c>
      <c r="G17">
        <v>249.79299503211999</v>
      </c>
      <c r="H17">
        <v>0</v>
      </c>
      <c r="I17">
        <v>0</v>
      </c>
    </row>
    <row r="18" spans="1:9" x14ac:dyDescent="0.25">
      <c r="A18" t="s">
        <v>187</v>
      </c>
      <c r="B18" t="s">
        <v>194</v>
      </c>
      <c r="C18" t="s">
        <v>221</v>
      </c>
      <c r="D18">
        <v>263</v>
      </c>
      <c r="E18">
        <v>262.92367759880892</v>
      </c>
      <c r="F18">
        <v>262.81669841914209</v>
      </c>
      <c r="G18">
        <v>262.81669841914209</v>
      </c>
      <c r="H18">
        <v>0</v>
      </c>
      <c r="I18">
        <v>0</v>
      </c>
    </row>
    <row r="19" spans="1:9" x14ac:dyDescent="0.25">
      <c r="A19" t="s">
        <v>187</v>
      </c>
      <c r="B19" t="s">
        <v>194</v>
      </c>
      <c r="C19" t="s">
        <v>222</v>
      </c>
      <c r="D19">
        <v>287</v>
      </c>
      <c r="E19">
        <v>292.55734412148502</v>
      </c>
      <c r="F19">
        <v>292.5328797412605</v>
      </c>
      <c r="G19">
        <v>292.795849974845</v>
      </c>
      <c r="H19">
        <v>100.1276481177902</v>
      </c>
      <c r="I19">
        <v>106.00788500882911</v>
      </c>
    </row>
    <row r="20" spans="1:9" x14ac:dyDescent="0.25">
      <c r="A20" t="s">
        <v>187</v>
      </c>
      <c r="B20" t="s">
        <v>194</v>
      </c>
      <c r="C20" t="s">
        <v>223</v>
      </c>
      <c r="D20">
        <v>297</v>
      </c>
      <c r="E20">
        <v>276.10856296503329</v>
      </c>
      <c r="F20">
        <v>247.40093440493399</v>
      </c>
      <c r="G20">
        <v>256.7707966565593</v>
      </c>
      <c r="H20">
        <v>0</v>
      </c>
      <c r="I20">
        <v>38.246201999842647</v>
      </c>
    </row>
    <row r="21" spans="1:9" x14ac:dyDescent="0.25">
      <c r="A21" t="s">
        <v>187</v>
      </c>
      <c r="B21" t="s">
        <v>194</v>
      </c>
      <c r="C21" t="s">
        <v>224</v>
      </c>
      <c r="D21">
        <v>161</v>
      </c>
      <c r="E21">
        <v>148.55720809634499</v>
      </c>
      <c r="F21">
        <v>143.97483332591429</v>
      </c>
      <c r="G21">
        <v>143.97483332591429</v>
      </c>
      <c r="H21">
        <v>0</v>
      </c>
      <c r="I21">
        <v>0</v>
      </c>
    </row>
    <row r="22" spans="1:9" x14ac:dyDescent="0.25">
      <c r="A22" t="s">
        <v>187</v>
      </c>
      <c r="B22" t="s">
        <v>194</v>
      </c>
      <c r="C22" t="s">
        <v>225</v>
      </c>
      <c r="D22">
        <v>161</v>
      </c>
      <c r="E22">
        <v>160.71759494389309</v>
      </c>
      <c r="F22">
        <v>160.6673398560585</v>
      </c>
      <c r="G22">
        <v>160.6673398560585</v>
      </c>
      <c r="H22">
        <v>0</v>
      </c>
      <c r="I22">
        <v>0</v>
      </c>
    </row>
    <row r="23" spans="1:9" x14ac:dyDescent="0.25">
      <c r="A23" t="s">
        <v>187</v>
      </c>
      <c r="B23" t="s">
        <v>194</v>
      </c>
      <c r="C23" t="s">
        <v>202</v>
      </c>
      <c r="D23">
        <v>258</v>
      </c>
      <c r="E23">
        <v>314.91303373020389</v>
      </c>
      <c r="F23">
        <v>310.68060283759121</v>
      </c>
      <c r="G23">
        <v>312.37472569904509</v>
      </c>
      <c r="H23">
        <v>47.406290535965887</v>
      </c>
      <c r="I23">
        <v>53.55850519272439</v>
      </c>
    </row>
    <row r="24" spans="1:9" x14ac:dyDescent="0.25">
      <c r="A24" t="s">
        <v>187</v>
      </c>
      <c r="B24" t="s">
        <v>194</v>
      </c>
      <c r="C24" t="s">
        <v>226</v>
      </c>
      <c r="D24">
        <v>365</v>
      </c>
      <c r="E24">
        <v>262.87273087930191</v>
      </c>
      <c r="F24">
        <v>220.2672589793068</v>
      </c>
      <c r="G24">
        <v>220.2672589793068</v>
      </c>
      <c r="H24">
        <v>0</v>
      </c>
      <c r="I24">
        <v>0</v>
      </c>
    </row>
    <row r="25" spans="1:9" x14ac:dyDescent="0.25">
      <c r="A25" t="s">
        <v>187</v>
      </c>
      <c r="B25" t="s">
        <v>194</v>
      </c>
      <c r="C25" t="s">
        <v>227</v>
      </c>
      <c r="D25">
        <v>362</v>
      </c>
      <c r="E25">
        <v>355.50063630028279</v>
      </c>
      <c r="F25">
        <v>346.55641769751441</v>
      </c>
      <c r="G25">
        <v>346.55642848036871</v>
      </c>
      <c r="H25">
        <v>9.8943556254679876</v>
      </c>
      <c r="I25">
        <v>9.8943556254679876</v>
      </c>
    </row>
    <row r="26" spans="1:9" x14ac:dyDescent="0.25">
      <c r="A26" t="s">
        <v>187</v>
      </c>
      <c r="B26" t="s">
        <v>194</v>
      </c>
      <c r="C26" t="s">
        <v>228</v>
      </c>
      <c r="D26">
        <v>366</v>
      </c>
      <c r="E26">
        <v>360.04299101418422</v>
      </c>
      <c r="F26">
        <v>355.17212556347971</v>
      </c>
      <c r="G26">
        <v>356.12176683499388</v>
      </c>
      <c r="H26">
        <v>16.387622806926881</v>
      </c>
      <c r="I26">
        <v>29.504332575253809</v>
      </c>
    </row>
    <row r="27" spans="1:9" x14ac:dyDescent="0.25">
      <c r="A27" t="s">
        <v>187</v>
      </c>
      <c r="B27" t="s">
        <v>194</v>
      </c>
      <c r="C27" t="s">
        <v>229</v>
      </c>
      <c r="D27">
        <v>366</v>
      </c>
      <c r="E27">
        <v>365.88762061251452</v>
      </c>
      <c r="F27">
        <v>365.88762061251452</v>
      </c>
      <c r="G27">
        <v>365.88762061251452</v>
      </c>
      <c r="H27">
        <v>0</v>
      </c>
      <c r="I27">
        <v>0</v>
      </c>
    </row>
    <row r="28" spans="1:9" x14ac:dyDescent="0.25">
      <c r="A28" t="s">
        <v>187</v>
      </c>
      <c r="B28" t="s">
        <v>194</v>
      </c>
      <c r="C28" t="s">
        <v>230</v>
      </c>
      <c r="D28">
        <v>383.27</v>
      </c>
      <c r="E28">
        <v>367.99175232502671</v>
      </c>
      <c r="F28">
        <v>363.89976857196922</v>
      </c>
      <c r="G28">
        <v>363.89976857196922</v>
      </c>
      <c r="H28">
        <v>13.204663699047069</v>
      </c>
      <c r="I28">
        <v>13.204663699047069</v>
      </c>
    </row>
    <row r="29" spans="1:9" x14ac:dyDescent="0.25">
      <c r="A29" t="s">
        <v>187</v>
      </c>
      <c r="B29" t="s">
        <v>24</v>
      </c>
      <c r="C29" t="s">
        <v>195</v>
      </c>
      <c r="D29">
        <v>249.9</v>
      </c>
      <c r="E29">
        <v>272.01103898339488</v>
      </c>
      <c r="F29">
        <v>270.85133359211738</v>
      </c>
      <c r="G29">
        <v>270.96531528106829</v>
      </c>
      <c r="H29">
        <v>133.21496117438639</v>
      </c>
      <c r="I29">
        <v>145.66995586683419</v>
      </c>
    </row>
    <row r="30" spans="1:9" x14ac:dyDescent="0.25">
      <c r="A30" t="s">
        <v>187</v>
      </c>
      <c r="B30" t="s">
        <v>24</v>
      </c>
      <c r="C30" t="s">
        <v>231</v>
      </c>
      <c r="D30">
        <v>275.39999999999998</v>
      </c>
      <c r="E30">
        <v>249.33586518977589</v>
      </c>
      <c r="F30">
        <v>242.40869774023369</v>
      </c>
      <c r="G30">
        <v>249.3339039322052</v>
      </c>
      <c r="H30">
        <v>53.97986236731834</v>
      </c>
      <c r="I30">
        <v>83.034946432060195</v>
      </c>
    </row>
    <row r="31" spans="1:9" x14ac:dyDescent="0.25">
      <c r="A31" t="s">
        <v>187</v>
      </c>
      <c r="B31" t="s">
        <v>24</v>
      </c>
      <c r="C31" t="s">
        <v>232</v>
      </c>
      <c r="D31">
        <v>298.89999999999998</v>
      </c>
      <c r="E31">
        <v>258.85971833370343</v>
      </c>
      <c r="F31">
        <v>261.20885651664639</v>
      </c>
      <c r="G31">
        <v>261.78518435893318</v>
      </c>
      <c r="H31">
        <v>136.5015317546839</v>
      </c>
      <c r="I31">
        <v>150.84261830663161</v>
      </c>
    </row>
    <row r="32" spans="1:9" x14ac:dyDescent="0.25">
      <c r="A32" t="s">
        <v>187</v>
      </c>
      <c r="B32" t="s">
        <v>24</v>
      </c>
      <c r="C32" t="s">
        <v>233</v>
      </c>
      <c r="D32">
        <v>298.89999999999998</v>
      </c>
      <c r="E32">
        <v>217.05485116034171</v>
      </c>
      <c r="F32">
        <v>206.51334357584909</v>
      </c>
      <c r="G32">
        <v>216.45827786959259</v>
      </c>
      <c r="H32">
        <v>15.724159878301091</v>
      </c>
      <c r="I32">
        <v>114.5859699241477</v>
      </c>
    </row>
    <row r="33" spans="1:9" x14ac:dyDescent="0.25">
      <c r="A33" t="s">
        <v>187</v>
      </c>
      <c r="B33" t="s">
        <v>24</v>
      </c>
      <c r="C33" t="s">
        <v>234</v>
      </c>
      <c r="D33">
        <v>377.4</v>
      </c>
      <c r="E33">
        <v>377.31291740605701</v>
      </c>
      <c r="F33">
        <v>377.27821688143558</v>
      </c>
      <c r="G33">
        <v>377.27821688143558</v>
      </c>
      <c r="H33">
        <v>0</v>
      </c>
      <c r="I33">
        <v>0</v>
      </c>
    </row>
    <row r="34" spans="1:9" x14ac:dyDescent="0.25">
      <c r="A34" t="s">
        <v>187</v>
      </c>
      <c r="B34" t="s">
        <v>24</v>
      </c>
      <c r="C34" t="s">
        <v>203</v>
      </c>
      <c r="D34">
        <v>377.4</v>
      </c>
      <c r="E34">
        <v>310.4422552953024</v>
      </c>
      <c r="F34">
        <v>287.87320188341897</v>
      </c>
      <c r="G34">
        <v>302.73521940328459</v>
      </c>
      <c r="H34">
        <v>21.710887076126671</v>
      </c>
      <c r="I34">
        <v>65.551213923068872</v>
      </c>
    </row>
    <row r="35" spans="1:9" x14ac:dyDescent="0.25">
      <c r="A35" t="s">
        <v>187</v>
      </c>
      <c r="B35" t="s">
        <v>39</v>
      </c>
      <c r="C35" t="s">
        <v>235</v>
      </c>
      <c r="D35">
        <v>435</v>
      </c>
      <c r="E35">
        <v>339.85557166718883</v>
      </c>
      <c r="F35">
        <v>333.63656634233138</v>
      </c>
      <c r="G35">
        <v>335.91665787626192</v>
      </c>
      <c r="H35">
        <v>32.02396696880696</v>
      </c>
      <c r="I35">
        <v>47.431813368498247</v>
      </c>
    </row>
    <row r="36" spans="1:9" x14ac:dyDescent="0.25">
      <c r="A36" t="s">
        <v>187</v>
      </c>
      <c r="B36" t="s">
        <v>39</v>
      </c>
      <c r="C36" t="s">
        <v>236</v>
      </c>
      <c r="D36">
        <v>220.49</v>
      </c>
      <c r="E36">
        <v>220.78551220333699</v>
      </c>
      <c r="F36">
        <v>221.72654169681479</v>
      </c>
      <c r="G36">
        <v>221.72654169681479</v>
      </c>
      <c r="H36">
        <v>3850.00039558138</v>
      </c>
      <c r="I36">
        <v>3850.00039558138</v>
      </c>
    </row>
    <row r="37" spans="1:9" x14ac:dyDescent="0.25">
      <c r="A37" t="s">
        <v>187</v>
      </c>
      <c r="B37" t="s">
        <v>39</v>
      </c>
      <c r="C37" t="s">
        <v>237</v>
      </c>
      <c r="D37">
        <v>420</v>
      </c>
      <c r="E37">
        <v>317.25965565788232</v>
      </c>
      <c r="F37">
        <v>317.9822257115365</v>
      </c>
      <c r="G37">
        <v>317.98222477183577</v>
      </c>
      <c r="H37">
        <v>45.765644725321557</v>
      </c>
      <c r="I37">
        <v>45.765644725321557</v>
      </c>
    </row>
    <row r="38" spans="1:9" x14ac:dyDescent="0.25">
      <c r="A38" t="s">
        <v>187</v>
      </c>
      <c r="B38" t="s">
        <v>39</v>
      </c>
      <c r="C38" t="s">
        <v>238</v>
      </c>
      <c r="D38">
        <v>197.1</v>
      </c>
      <c r="E38">
        <v>193.7099978518232</v>
      </c>
      <c r="F38">
        <v>193.4752642744931</v>
      </c>
      <c r="G38">
        <v>193.47526427449299</v>
      </c>
      <c r="H38">
        <v>0</v>
      </c>
      <c r="I38">
        <v>0</v>
      </c>
    </row>
    <row r="39" spans="1:9" x14ac:dyDescent="0.25">
      <c r="A39" t="s">
        <v>187</v>
      </c>
      <c r="B39" t="s">
        <v>39</v>
      </c>
      <c r="C39" t="s">
        <v>239</v>
      </c>
      <c r="D39">
        <v>199.1</v>
      </c>
      <c r="E39">
        <v>165.42757591247991</v>
      </c>
      <c r="F39">
        <v>161.6658582071893</v>
      </c>
      <c r="G39">
        <v>161.6658582071893</v>
      </c>
      <c r="H39">
        <v>0</v>
      </c>
      <c r="I39">
        <v>0</v>
      </c>
    </row>
    <row r="40" spans="1:9" ht="17.45" customHeight="1" x14ac:dyDescent="0.25">
      <c r="A40" t="s">
        <v>187</v>
      </c>
      <c r="B40" t="s">
        <v>39</v>
      </c>
      <c r="C40" t="s">
        <v>240</v>
      </c>
      <c r="D40">
        <v>179.1</v>
      </c>
      <c r="E40">
        <v>169.68467917309329</v>
      </c>
      <c r="F40">
        <v>147.1877072526772</v>
      </c>
      <c r="G40">
        <v>147.1877072526772</v>
      </c>
      <c r="H40">
        <v>0</v>
      </c>
      <c r="I40">
        <v>0</v>
      </c>
    </row>
    <row r="41" spans="1:9" x14ac:dyDescent="0.25">
      <c r="A41" t="s">
        <v>187</v>
      </c>
      <c r="B41" t="s">
        <v>39</v>
      </c>
      <c r="C41" t="s">
        <v>241</v>
      </c>
      <c r="D41">
        <v>190.9</v>
      </c>
      <c r="E41">
        <v>176.6546740068502</v>
      </c>
      <c r="F41">
        <v>172.3889299548392</v>
      </c>
      <c r="G41">
        <v>172.3889299548392</v>
      </c>
      <c r="H41">
        <v>0</v>
      </c>
      <c r="I41">
        <v>0</v>
      </c>
    </row>
    <row r="42" spans="1:9" x14ac:dyDescent="0.25">
      <c r="A42" t="s">
        <v>187</v>
      </c>
      <c r="B42" t="s">
        <v>39</v>
      </c>
      <c r="C42" t="s">
        <v>242</v>
      </c>
      <c r="D42">
        <v>192.1</v>
      </c>
      <c r="E42">
        <v>173.02100478587559</v>
      </c>
      <c r="F42">
        <v>167.8078913385682</v>
      </c>
      <c r="G42">
        <v>167.8078913385682</v>
      </c>
      <c r="H42">
        <v>0</v>
      </c>
      <c r="I42">
        <v>0</v>
      </c>
    </row>
    <row r="43" spans="1:9" x14ac:dyDescent="0.25">
      <c r="A43" t="s">
        <v>187</v>
      </c>
      <c r="B43" t="s">
        <v>39</v>
      </c>
      <c r="C43" t="s">
        <v>243</v>
      </c>
      <c r="D43">
        <v>230.2</v>
      </c>
      <c r="E43">
        <v>221.6106105943968</v>
      </c>
      <c r="F43">
        <v>222.76441353094569</v>
      </c>
      <c r="G43">
        <v>222.7644135309456</v>
      </c>
      <c r="H43">
        <v>92.752967176374128</v>
      </c>
      <c r="I43">
        <v>92.752967176374128</v>
      </c>
    </row>
    <row r="44" spans="1:9" x14ac:dyDescent="0.25">
      <c r="A44" t="s">
        <v>187</v>
      </c>
      <c r="B44" t="s">
        <v>39</v>
      </c>
      <c r="C44" t="s">
        <v>231</v>
      </c>
      <c r="D44">
        <v>239</v>
      </c>
      <c r="E44">
        <v>233.7533520704981</v>
      </c>
      <c r="F44">
        <v>247.46588096427021</v>
      </c>
      <c r="G44">
        <v>247.46588096427021</v>
      </c>
      <c r="H44">
        <v>497.30705980335898</v>
      </c>
      <c r="I44">
        <v>497.30705980335892</v>
      </c>
    </row>
    <row r="45" spans="1:9" x14ac:dyDescent="0.25">
      <c r="A45" t="s">
        <v>187</v>
      </c>
      <c r="B45" t="s">
        <v>39</v>
      </c>
      <c r="C45" t="s">
        <v>244</v>
      </c>
      <c r="D45">
        <v>316.2</v>
      </c>
      <c r="E45">
        <v>304.01739156789188</v>
      </c>
      <c r="F45">
        <v>300.39082254899688</v>
      </c>
      <c r="G45">
        <v>300.39082254899688</v>
      </c>
      <c r="H45">
        <v>0</v>
      </c>
      <c r="I45">
        <v>0</v>
      </c>
    </row>
    <row r="46" spans="1:9" x14ac:dyDescent="0.25">
      <c r="A46" t="s">
        <v>187</v>
      </c>
      <c r="B46" t="s">
        <v>39</v>
      </c>
      <c r="C46" t="s">
        <v>232</v>
      </c>
      <c r="D46">
        <v>288</v>
      </c>
      <c r="E46">
        <v>211.12232776160889</v>
      </c>
      <c r="F46">
        <v>194.6043962785842</v>
      </c>
      <c r="G46">
        <v>211.60864959008731</v>
      </c>
      <c r="H46">
        <v>9.9113115382488068</v>
      </c>
      <c r="I46">
        <v>133.81637500620411</v>
      </c>
    </row>
    <row r="47" spans="1:9" x14ac:dyDescent="0.25">
      <c r="A47" t="s">
        <v>187</v>
      </c>
      <c r="B47" t="s">
        <v>39</v>
      </c>
      <c r="C47" t="s">
        <v>245</v>
      </c>
      <c r="D47">
        <v>206</v>
      </c>
      <c r="E47">
        <v>203.73706580374551</v>
      </c>
      <c r="F47">
        <v>202.5597863682425</v>
      </c>
      <c r="G47">
        <v>202.5597863682425</v>
      </c>
      <c r="H47">
        <v>0.73398303553963162</v>
      </c>
      <c r="I47">
        <v>0.73398303553963162</v>
      </c>
    </row>
    <row r="48" spans="1:9" x14ac:dyDescent="0.25">
      <c r="A48" t="s">
        <v>187</v>
      </c>
      <c r="B48" t="s">
        <v>39</v>
      </c>
      <c r="C48" t="s">
        <v>246</v>
      </c>
      <c r="D48">
        <v>209.1</v>
      </c>
      <c r="E48">
        <v>206.27998992709809</v>
      </c>
      <c r="F48">
        <v>205.2065272507825</v>
      </c>
      <c r="G48">
        <v>205.2065272507825</v>
      </c>
      <c r="H48">
        <v>0</v>
      </c>
      <c r="I48">
        <v>0</v>
      </c>
    </row>
    <row r="49" spans="1:9" x14ac:dyDescent="0.25">
      <c r="A49" t="s">
        <v>187</v>
      </c>
      <c r="B49" t="s">
        <v>39</v>
      </c>
      <c r="C49" t="s">
        <v>247</v>
      </c>
      <c r="D49">
        <v>215.2</v>
      </c>
      <c r="E49">
        <v>211.4613513716902</v>
      </c>
      <c r="F49">
        <v>211.13367128947951</v>
      </c>
      <c r="G49">
        <v>211.13367128947951</v>
      </c>
      <c r="H49">
        <v>0</v>
      </c>
      <c r="I49">
        <v>0</v>
      </c>
    </row>
    <row r="50" spans="1:9" x14ac:dyDescent="0.25">
      <c r="A50" t="s">
        <v>187</v>
      </c>
      <c r="B50" t="s">
        <v>39</v>
      </c>
      <c r="C50" t="s">
        <v>248</v>
      </c>
      <c r="D50">
        <v>212</v>
      </c>
      <c r="E50">
        <v>210.53195177506601</v>
      </c>
      <c r="F50">
        <v>210.013224827567</v>
      </c>
      <c r="G50">
        <v>210.01322479969559</v>
      </c>
      <c r="H50">
        <v>0</v>
      </c>
      <c r="I50">
        <v>0</v>
      </c>
    </row>
    <row r="51" spans="1:9" x14ac:dyDescent="0.25">
      <c r="A51" t="s">
        <v>187</v>
      </c>
      <c r="B51" t="s">
        <v>39</v>
      </c>
      <c r="C51" t="s">
        <v>249</v>
      </c>
      <c r="D51">
        <v>215</v>
      </c>
      <c r="E51">
        <v>203.50306337296311</v>
      </c>
      <c r="F51">
        <v>199.2557177738087</v>
      </c>
      <c r="G51">
        <v>199.2557173587829</v>
      </c>
      <c r="H51">
        <v>35.014835575869263</v>
      </c>
      <c r="I51">
        <v>35.014835575869263</v>
      </c>
    </row>
    <row r="52" spans="1:9" x14ac:dyDescent="0.25">
      <c r="A52" t="s">
        <v>187</v>
      </c>
      <c r="B52" t="s">
        <v>39</v>
      </c>
      <c r="C52" t="s">
        <v>250</v>
      </c>
      <c r="D52">
        <v>220.49</v>
      </c>
      <c r="E52">
        <v>207.82389375106479</v>
      </c>
      <c r="F52">
        <v>202.4680320102799</v>
      </c>
      <c r="G52">
        <v>202.4680478118961</v>
      </c>
      <c r="H52">
        <v>0</v>
      </c>
      <c r="I52">
        <v>0</v>
      </c>
    </row>
    <row r="53" spans="1:9" x14ac:dyDescent="0.25">
      <c r="A53" t="s">
        <v>187</v>
      </c>
      <c r="B53" t="s">
        <v>39</v>
      </c>
      <c r="C53" t="s">
        <v>251</v>
      </c>
      <c r="D53">
        <v>220.49</v>
      </c>
      <c r="E53">
        <v>213.66894731879921</v>
      </c>
      <c r="F53">
        <v>211.30445577582759</v>
      </c>
      <c r="G53">
        <v>211.30445627720221</v>
      </c>
      <c r="H53">
        <v>0</v>
      </c>
      <c r="I53">
        <v>0</v>
      </c>
    </row>
    <row r="54" spans="1:9" x14ac:dyDescent="0.25">
      <c r="A54" t="s">
        <v>187</v>
      </c>
      <c r="B54" t="s">
        <v>39</v>
      </c>
      <c r="C54" t="s">
        <v>252</v>
      </c>
      <c r="D54">
        <v>152</v>
      </c>
      <c r="E54">
        <v>142.08177224443179</v>
      </c>
      <c r="F54">
        <v>142.08177224443179</v>
      </c>
      <c r="G54">
        <v>164.50291661161631</v>
      </c>
      <c r="H54">
        <v>0</v>
      </c>
      <c r="I54">
        <v>0</v>
      </c>
    </row>
    <row r="55" spans="1:9" x14ac:dyDescent="0.25">
      <c r="A55" t="s">
        <v>187</v>
      </c>
      <c r="B55" t="s">
        <v>39</v>
      </c>
      <c r="C55" t="s">
        <v>253</v>
      </c>
      <c r="D55">
        <v>159.1</v>
      </c>
      <c r="E55">
        <v>142.2158665996667</v>
      </c>
      <c r="F55">
        <v>129.3411069398409</v>
      </c>
      <c r="G55">
        <v>129.3411069398409</v>
      </c>
      <c r="H55">
        <v>0</v>
      </c>
      <c r="I55">
        <v>0</v>
      </c>
    </row>
    <row r="56" spans="1:9" x14ac:dyDescent="0.25">
      <c r="A56" t="s">
        <v>187</v>
      </c>
      <c r="B56" t="s">
        <v>39</v>
      </c>
      <c r="C56" t="s">
        <v>254</v>
      </c>
      <c r="D56">
        <v>179.1</v>
      </c>
      <c r="E56">
        <v>133.54497199930711</v>
      </c>
      <c r="F56">
        <v>133.35343006173471</v>
      </c>
      <c r="G56">
        <v>133.35343006173471</v>
      </c>
      <c r="H56">
        <v>0</v>
      </c>
      <c r="I56">
        <v>0</v>
      </c>
    </row>
    <row r="57" spans="1:9" x14ac:dyDescent="0.25">
      <c r="A57" t="s">
        <v>187</v>
      </c>
      <c r="B57" t="s">
        <v>39</v>
      </c>
      <c r="C57" t="s">
        <v>255</v>
      </c>
      <c r="D57">
        <v>121</v>
      </c>
      <c r="E57">
        <v>115.8471142695045</v>
      </c>
      <c r="F57">
        <v>114.6460727452768</v>
      </c>
      <c r="G57">
        <v>116.48451746369329</v>
      </c>
      <c r="H57">
        <v>61.880974196771902</v>
      </c>
      <c r="I57">
        <v>118.9359086575668</v>
      </c>
    </row>
    <row r="58" spans="1:9" x14ac:dyDescent="0.25">
      <c r="A58" t="s">
        <v>187</v>
      </c>
      <c r="B58" t="s">
        <v>39</v>
      </c>
      <c r="C58" t="s">
        <v>256</v>
      </c>
      <c r="D58">
        <v>129.1</v>
      </c>
      <c r="E58">
        <v>124.78318469502889</v>
      </c>
      <c r="F58">
        <v>124.78318469502899</v>
      </c>
      <c r="G58">
        <v>124.78318469502899</v>
      </c>
      <c r="H58">
        <v>0</v>
      </c>
      <c r="I58">
        <v>0</v>
      </c>
    </row>
    <row r="59" spans="1:9" x14ac:dyDescent="0.25">
      <c r="A59" t="s">
        <v>187</v>
      </c>
      <c r="B59" t="s">
        <v>43</v>
      </c>
      <c r="C59" t="s">
        <v>259</v>
      </c>
      <c r="D59">
        <v>264.78899999999999</v>
      </c>
      <c r="E59">
        <v>220.69156845184429</v>
      </c>
      <c r="F59">
        <v>201.79508265660959</v>
      </c>
      <c r="G59">
        <v>206.16989745945159</v>
      </c>
      <c r="H59">
        <v>12.741709891346799</v>
      </c>
      <c r="I59">
        <v>24.721298010630189</v>
      </c>
    </row>
    <row r="60" spans="1:9" x14ac:dyDescent="0.25">
      <c r="A60" t="s">
        <v>187</v>
      </c>
      <c r="B60" t="s">
        <v>43</v>
      </c>
      <c r="C60" t="s">
        <v>260</v>
      </c>
      <c r="D60">
        <v>264.78899999999999</v>
      </c>
      <c r="E60">
        <v>243.59882560460429</v>
      </c>
      <c r="F60">
        <v>235.78237308483139</v>
      </c>
      <c r="G60">
        <v>237.7888221641785</v>
      </c>
      <c r="H60">
        <v>37.642576568717551</v>
      </c>
      <c r="I60">
        <v>44.982312361889733</v>
      </c>
    </row>
    <row r="61" spans="1:9" x14ac:dyDescent="0.25">
      <c r="A61" t="s">
        <v>187</v>
      </c>
      <c r="B61" t="s">
        <v>11</v>
      </c>
      <c r="C61" t="s">
        <v>207</v>
      </c>
      <c r="D61" s="17">
        <v>273.39999999999998</v>
      </c>
      <c r="E61">
        <v>265.25298441472302</v>
      </c>
      <c r="F61">
        <v>280.67062362120748</v>
      </c>
      <c r="G61">
        <v>280.67062362120748</v>
      </c>
      <c r="H61">
        <v>0</v>
      </c>
      <c r="I61">
        <v>0</v>
      </c>
    </row>
    <row r="62" spans="1:9" x14ac:dyDescent="0.25">
      <c r="A62" t="s">
        <v>187</v>
      </c>
      <c r="B62" t="s">
        <v>11</v>
      </c>
      <c r="C62" t="s">
        <v>261</v>
      </c>
      <c r="D62" s="17">
        <v>273.39999999999998</v>
      </c>
      <c r="E62">
        <v>221.348738604023</v>
      </c>
      <c r="F62">
        <v>228.73160777102561</v>
      </c>
      <c r="G62">
        <v>229.65072519361061</v>
      </c>
      <c r="H62">
        <v>145.6674802224463</v>
      </c>
      <c r="I62">
        <v>151.40042270085689</v>
      </c>
    </row>
    <row r="63" spans="1:9" x14ac:dyDescent="0.25">
      <c r="A63" t="s">
        <v>187</v>
      </c>
      <c r="B63" t="s">
        <v>11</v>
      </c>
      <c r="C63" t="s">
        <v>262</v>
      </c>
      <c r="D63">
        <v>314</v>
      </c>
      <c r="E63">
        <v>204.54511225358681</v>
      </c>
      <c r="F63">
        <v>167.69968833136761</v>
      </c>
      <c r="G63">
        <v>219.61679606578301</v>
      </c>
      <c r="H63">
        <v>29.17017545321211</v>
      </c>
      <c r="I63">
        <v>133.95947523283581</v>
      </c>
    </row>
    <row r="64" spans="1:9" x14ac:dyDescent="0.25">
      <c r="A64" t="s">
        <v>187</v>
      </c>
      <c r="B64" t="s">
        <v>11</v>
      </c>
      <c r="C64" t="s">
        <v>263</v>
      </c>
      <c r="D64">
        <v>316</v>
      </c>
      <c r="E64">
        <v>262.95129557037183</v>
      </c>
      <c r="F64">
        <v>251.00654052123591</v>
      </c>
      <c r="G64">
        <v>267.83388564897859</v>
      </c>
      <c r="H64">
        <v>33.067286498502384</v>
      </c>
      <c r="I64">
        <v>107.844684917785</v>
      </c>
    </row>
    <row r="65" spans="1:9" x14ac:dyDescent="0.25">
      <c r="A65" t="s">
        <v>187</v>
      </c>
      <c r="B65" t="s">
        <v>11</v>
      </c>
      <c r="C65" t="s">
        <v>264</v>
      </c>
      <c r="D65">
        <v>275.39999999999998</v>
      </c>
      <c r="E65">
        <v>277.26568215108358</v>
      </c>
      <c r="F65">
        <v>277.48514041777798</v>
      </c>
      <c r="G65">
        <v>277.5786587097374</v>
      </c>
      <c r="H65">
        <v>126.6620655688739</v>
      </c>
      <c r="I65">
        <v>152.6318284314315</v>
      </c>
    </row>
    <row r="66" spans="1:9" x14ac:dyDescent="0.25">
      <c r="A66" t="s">
        <v>187</v>
      </c>
      <c r="B66" t="s">
        <v>11</v>
      </c>
      <c r="C66" t="s">
        <v>265</v>
      </c>
      <c r="D66">
        <v>255</v>
      </c>
      <c r="E66">
        <v>254.60381236484179</v>
      </c>
      <c r="F66">
        <v>254.62045857288061</v>
      </c>
      <c r="G66">
        <v>254.62045857288049</v>
      </c>
      <c r="H66">
        <v>115.5051271139894</v>
      </c>
      <c r="I66">
        <v>115.5051271139894</v>
      </c>
    </row>
    <row r="67" spans="1:9" x14ac:dyDescent="0.25">
      <c r="A67" t="s">
        <v>187</v>
      </c>
      <c r="B67" t="s">
        <v>33</v>
      </c>
      <c r="C67" t="s">
        <v>207</v>
      </c>
      <c r="D67">
        <v>267</v>
      </c>
      <c r="E67">
        <v>270.26043690932869</v>
      </c>
      <c r="F67">
        <v>271.68057011104662</v>
      </c>
      <c r="G67">
        <v>272.55468974615019</v>
      </c>
      <c r="H67">
        <v>185.8326137790736</v>
      </c>
      <c r="I67">
        <v>210.38015707545659</v>
      </c>
    </row>
    <row r="68" spans="1:9" x14ac:dyDescent="0.25">
      <c r="A68" t="s">
        <v>187</v>
      </c>
      <c r="B68" t="s">
        <v>33</v>
      </c>
      <c r="C68" t="s">
        <v>261</v>
      </c>
      <c r="D68">
        <v>271</v>
      </c>
      <c r="E68">
        <v>262.76172460790258</v>
      </c>
      <c r="F68">
        <v>263.80525214126777</v>
      </c>
      <c r="G68">
        <v>265.97808545005449</v>
      </c>
      <c r="H68">
        <v>138.91337251861961</v>
      </c>
      <c r="I68">
        <v>151.64209428749319</v>
      </c>
    </row>
    <row r="69" spans="1:9" x14ac:dyDescent="0.25">
      <c r="A69" t="s">
        <v>187</v>
      </c>
      <c r="B69" t="s">
        <v>33</v>
      </c>
      <c r="C69" t="s">
        <v>209</v>
      </c>
      <c r="D69">
        <v>259</v>
      </c>
      <c r="E69">
        <v>257.61448797923612</v>
      </c>
      <c r="F69">
        <v>257.26491683575478</v>
      </c>
      <c r="G69">
        <v>257.86997948607137</v>
      </c>
      <c r="H69">
        <v>0</v>
      </c>
      <c r="I69">
        <v>126.3135684964216</v>
      </c>
    </row>
    <row r="70" spans="1:9" x14ac:dyDescent="0.25">
      <c r="A70" t="s">
        <v>187</v>
      </c>
      <c r="B70" t="s">
        <v>33</v>
      </c>
      <c r="C70" t="s">
        <v>266</v>
      </c>
      <c r="D70">
        <v>263</v>
      </c>
      <c r="E70">
        <v>260.60081971009021</v>
      </c>
      <c r="F70">
        <v>262.12734023037473</v>
      </c>
      <c r="G70">
        <v>262.12734023037473</v>
      </c>
      <c r="H70">
        <v>133.56583965156179</v>
      </c>
      <c r="I70">
        <v>133.56583965156179</v>
      </c>
    </row>
    <row r="71" spans="1:9" x14ac:dyDescent="0.25">
      <c r="A71" t="s">
        <v>187</v>
      </c>
      <c r="B71" t="s">
        <v>33</v>
      </c>
      <c r="C71" t="s">
        <v>203</v>
      </c>
      <c r="D71">
        <v>400</v>
      </c>
      <c r="E71">
        <v>316.8007779604423</v>
      </c>
      <c r="F71">
        <v>302.70075586655457</v>
      </c>
      <c r="G71">
        <v>323.17016905431649</v>
      </c>
      <c r="H71">
        <v>47.63166813894594</v>
      </c>
      <c r="I71">
        <v>136.58569913203519</v>
      </c>
    </row>
    <row r="72" spans="1:9" x14ac:dyDescent="0.25">
      <c r="A72" t="s">
        <v>187</v>
      </c>
      <c r="B72" t="s">
        <v>38</v>
      </c>
      <c r="C72" t="s">
        <v>207</v>
      </c>
      <c r="D72">
        <v>210.1</v>
      </c>
      <c r="E72">
        <v>229.35223387287439</v>
      </c>
      <c r="F72">
        <v>228.8962933401373</v>
      </c>
      <c r="H72">
        <v>1.205792227784563</v>
      </c>
    </row>
    <row r="73" spans="1:9" x14ac:dyDescent="0.25">
      <c r="A73" t="s">
        <v>187</v>
      </c>
      <c r="B73" t="s">
        <v>38</v>
      </c>
      <c r="C73" t="s">
        <v>261</v>
      </c>
      <c r="D73">
        <v>262.10000000000002</v>
      </c>
      <c r="E73">
        <v>228.51890307605089</v>
      </c>
      <c r="F73">
        <v>230.34406862166509</v>
      </c>
      <c r="H73">
        <v>270.53950271174239</v>
      </c>
    </row>
    <row r="74" spans="1:9" ht="15" customHeight="1" x14ac:dyDescent="0.25">
      <c r="A74" t="s">
        <v>187</v>
      </c>
      <c r="B74" t="s">
        <v>38</v>
      </c>
      <c r="C74" t="s">
        <v>264</v>
      </c>
      <c r="D74">
        <v>270.3</v>
      </c>
      <c r="E74">
        <v>262.43234139885959</v>
      </c>
      <c r="F74">
        <v>260.76777221225268</v>
      </c>
      <c r="H74">
        <v>70.517735834385192</v>
      </c>
    </row>
    <row r="75" spans="1:9" x14ac:dyDescent="0.25">
      <c r="A75" t="s">
        <v>187</v>
      </c>
      <c r="B75" t="s">
        <v>57</v>
      </c>
      <c r="C75" t="s">
        <v>267</v>
      </c>
      <c r="D75">
        <v>282.5</v>
      </c>
      <c r="E75">
        <v>279.43454296125469</v>
      </c>
      <c r="F75">
        <v>278.89772084489459</v>
      </c>
      <c r="G75">
        <v>278.89772084489459</v>
      </c>
      <c r="H75">
        <v>0</v>
      </c>
      <c r="I75">
        <v>0</v>
      </c>
    </row>
    <row r="76" spans="1:9" x14ac:dyDescent="0.25">
      <c r="A76" t="s">
        <v>187</v>
      </c>
      <c r="B76" t="s">
        <v>57</v>
      </c>
      <c r="C76" t="s">
        <v>202</v>
      </c>
      <c r="D76">
        <v>370</v>
      </c>
      <c r="E76">
        <v>305.30812998073299</v>
      </c>
      <c r="F76">
        <v>299.04551361800492</v>
      </c>
      <c r="G76">
        <v>299.04551361800492</v>
      </c>
      <c r="H76">
        <v>85.635289122818648</v>
      </c>
      <c r="I76">
        <v>85.635289122818648</v>
      </c>
    </row>
    <row r="77" spans="1:9" x14ac:dyDescent="0.25">
      <c r="A77" t="s">
        <v>187</v>
      </c>
      <c r="B77" t="s">
        <v>57</v>
      </c>
      <c r="C77" t="s">
        <v>228</v>
      </c>
      <c r="D77">
        <v>287.60000000000002</v>
      </c>
      <c r="E77">
        <v>325.66377329594559</v>
      </c>
      <c r="F77">
        <v>280.34541460167281</v>
      </c>
      <c r="G77">
        <v>283.5148015840295</v>
      </c>
      <c r="H77">
        <v>0</v>
      </c>
      <c r="I77">
        <v>8.471896573769202</v>
      </c>
    </row>
    <row r="78" spans="1:9" x14ac:dyDescent="0.25">
      <c r="A78" t="s">
        <v>187</v>
      </c>
      <c r="B78" t="s">
        <v>57</v>
      </c>
      <c r="C78" t="s">
        <v>230</v>
      </c>
      <c r="D78">
        <v>390</v>
      </c>
      <c r="E78">
        <v>374.28603702058552</v>
      </c>
      <c r="F78">
        <v>372.41787872655851</v>
      </c>
      <c r="G78">
        <v>372.41787872655851</v>
      </c>
      <c r="H78">
        <v>0</v>
      </c>
      <c r="I78">
        <v>0</v>
      </c>
    </row>
    <row r="79" spans="1:9" x14ac:dyDescent="0.25">
      <c r="A79" t="s">
        <v>187</v>
      </c>
      <c r="B79" t="s">
        <v>64</v>
      </c>
      <c r="C79" t="s">
        <v>268</v>
      </c>
      <c r="D79">
        <v>271</v>
      </c>
      <c r="E79">
        <v>213.01025084695129</v>
      </c>
      <c r="F79">
        <v>191.31824845561249</v>
      </c>
      <c r="G79">
        <v>191.31824845561249</v>
      </c>
      <c r="H79">
        <v>0</v>
      </c>
      <c r="I79">
        <v>0</v>
      </c>
    </row>
    <row r="80" spans="1:9" ht="14.45" customHeight="1" x14ac:dyDescent="0.25">
      <c r="A80" t="s">
        <v>187</v>
      </c>
      <c r="B80" t="s">
        <v>64</v>
      </c>
      <c r="C80" t="s">
        <v>269</v>
      </c>
      <c r="D80">
        <v>271</v>
      </c>
      <c r="E80">
        <v>237.01548478613469</v>
      </c>
      <c r="F80">
        <v>178.85745908649639</v>
      </c>
      <c r="G80">
        <v>215.1181585555008</v>
      </c>
      <c r="H80">
        <v>0</v>
      </c>
      <c r="I80">
        <v>0</v>
      </c>
    </row>
    <row r="81" spans="1:9" x14ac:dyDescent="0.25">
      <c r="A81" t="s">
        <v>187</v>
      </c>
      <c r="B81" t="s">
        <v>52</v>
      </c>
      <c r="C81" t="s">
        <v>270</v>
      </c>
      <c r="D81">
        <v>268</v>
      </c>
      <c r="E81">
        <v>162.4350452656179</v>
      </c>
      <c r="F81">
        <v>139.6896159864655</v>
      </c>
      <c r="G81">
        <v>144.37468143007379</v>
      </c>
      <c r="H81">
        <v>44.904417784247833</v>
      </c>
      <c r="I81">
        <v>52.698433702762443</v>
      </c>
    </row>
    <row r="82" spans="1:9" x14ac:dyDescent="0.25">
      <c r="A82" t="s">
        <v>187</v>
      </c>
      <c r="B82" t="s">
        <v>81</v>
      </c>
      <c r="C82" t="s">
        <v>264</v>
      </c>
      <c r="D82">
        <v>262.2</v>
      </c>
      <c r="E82">
        <v>251.73146177190031</v>
      </c>
      <c r="F82">
        <v>250.0637468715741</v>
      </c>
      <c r="H82">
        <v>96.152409724797266</v>
      </c>
    </row>
    <row r="83" spans="1:9" x14ac:dyDescent="0.25">
      <c r="A83" t="s">
        <v>187</v>
      </c>
      <c r="B83" t="s">
        <v>47</v>
      </c>
      <c r="C83" t="s">
        <v>261</v>
      </c>
      <c r="D83">
        <v>287.60000000000002</v>
      </c>
      <c r="E83">
        <v>274.18066066743938</v>
      </c>
      <c r="F83">
        <v>271.80736477739481</v>
      </c>
      <c r="G83">
        <v>272.12776660385532</v>
      </c>
      <c r="H83">
        <v>81.816458597138066</v>
      </c>
      <c r="I83">
        <v>82.846768443502071</v>
      </c>
    </row>
    <row r="84" spans="1:9" x14ac:dyDescent="0.25">
      <c r="A84" t="s">
        <v>187</v>
      </c>
      <c r="B84" t="s">
        <v>47</v>
      </c>
      <c r="C84" s="19" t="s">
        <v>189</v>
      </c>
      <c r="D84">
        <v>268.89999999999998</v>
      </c>
      <c r="G84">
        <v>207.7479367611723</v>
      </c>
      <c r="I84">
        <v>77.919816692724993</v>
      </c>
    </row>
    <row r="85" spans="1:9" x14ac:dyDescent="0.25">
      <c r="A85" t="s">
        <v>187</v>
      </c>
      <c r="B85" t="s">
        <v>47</v>
      </c>
      <c r="C85" s="19" t="s">
        <v>266</v>
      </c>
      <c r="D85">
        <v>282.5</v>
      </c>
      <c r="E85">
        <v>213.5696800554496</v>
      </c>
      <c r="F85">
        <v>204.0798361601847</v>
      </c>
      <c r="G85">
        <v>248.0415391837135</v>
      </c>
      <c r="H85">
        <v>74.918564667614945</v>
      </c>
      <c r="I85">
        <v>79.958217719891707</v>
      </c>
    </row>
    <row r="86" spans="1:9" x14ac:dyDescent="0.25">
      <c r="A86" t="s">
        <v>187</v>
      </c>
      <c r="B86" t="s">
        <v>77</v>
      </c>
      <c r="C86" t="s">
        <v>207</v>
      </c>
      <c r="D86">
        <v>275.39999999999998</v>
      </c>
      <c r="E86">
        <v>257.59228283349779</v>
      </c>
      <c r="F86">
        <v>256.45002354617918</v>
      </c>
      <c r="G86">
        <v>258.47791554482512</v>
      </c>
      <c r="H86">
        <v>0</v>
      </c>
      <c r="I86">
        <v>57.145214686137997</v>
      </c>
    </row>
    <row r="87" spans="1:9" x14ac:dyDescent="0.25">
      <c r="A87" t="s">
        <v>187</v>
      </c>
      <c r="B87" t="s">
        <v>77</v>
      </c>
      <c r="C87" t="s">
        <v>264</v>
      </c>
      <c r="D87">
        <v>285.60000000000002</v>
      </c>
      <c r="E87">
        <v>277.15239022246442</v>
      </c>
      <c r="F87">
        <v>273.19829170056829</v>
      </c>
      <c r="G87">
        <v>273.19829170056829</v>
      </c>
      <c r="H87">
        <v>0</v>
      </c>
      <c r="I87">
        <v>0</v>
      </c>
    </row>
    <row r="88" spans="1:9" x14ac:dyDescent="0.25">
      <c r="A88" t="s">
        <v>187</v>
      </c>
      <c r="B88" t="s">
        <v>49</v>
      </c>
      <c r="C88" s="21" t="s">
        <v>207</v>
      </c>
      <c r="D88">
        <v>272.3</v>
      </c>
      <c r="E88">
        <v>260.11347831705331</v>
      </c>
      <c r="F88">
        <v>253.503412953463</v>
      </c>
      <c r="G88">
        <v>253.503412953463</v>
      </c>
      <c r="H88">
        <v>22.801281696633499</v>
      </c>
      <c r="I88">
        <v>22.801281696633499</v>
      </c>
    </row>
    <row r="89" spans="1:9" x14ac:dyDescent="0.25">
      <c r="A89" t="s">
        <v>187</v>
      </c>
      <c r="B89" t="s">
        <v>49</v>
      </c>
      <c r="C89" s="19" t="s">
        <v>261</v>
      </c>
      <c r="D89">
        <v>272.3</v>
      </c>
      <c r="E89">
        <v>250.82657572382939</v>
      </c>
      <c r="F89">
        <v>230.18713755181139</v>
      </c>
      <c r="H89">
        <v>40.486338555346123</v>
      </c>
    </row>
    <row r="90" spans="1:9" x14ac:dyDescent="0.25">
      <c r="A90" t="s">
        <v>187</v>
      </c>
      <c r="B90" t="s">
        <v>49</v>
      </c>
      <c r="C90" s="19" t="s">
        <v>264</v>
      </c>
      <c r="D90">
        <v>284</v>
      </c>
      <c r="E90">
        <v>247.05952703663189</v>
      </c>
      <c r="F90">
        <v>252.34130449123441</v>
      </c>
      <c r="H90">
        <v>92.020102582816634</v>
      </c>
    </row>
    <row r="91" spans="1:9" x14ac:dyDescent="0.25">
      <c r="A91" t="s">
        <v>187</v>
      </c>
      <c r="B91" t="s">
        <v>28</v>
      </c>
      <c r="C91" s="18" t="s">
        <v>274</v>
      </c>
      <c r="D91">
        <v>222.08699999999999</v>
      </c>
      <c r="E91">
        <v>178.71574944097731</v>
      </c>
      <c r="F91">
        <v>175.72586239507149</v>
      </c>
      <c r="G91">
        <v>175.72586239507149</v>
      </c>
      <c r="H91">
        <v>0</v>
      </c>
      <c r="I91">
        <v>0</v>
      </c>
    </row>
    <row r="92" spans="1:9" x14ac:dyDescent="0.25">
      <c r="A92" t="s">
        <v>187</v>
      </c>
      <c r="B92" t="s">
        <v>28</v>
      </c>
      <c r="C92" s="19" t="s">
        <v>275</v>
      </c>
      <c r="D92">
        <v>221.3</v>
      </c>
      <c r="E92">
        <v>220.29841761048891</v>
      </c>
      <c r="F92">
        <v>220.08879493196829</v>
      </c>
      <c r="G92">
        <v>220.08879493196829</v>
      </c>
      <c r="H92">
        <v>0</v>
      </c>
      <c r="I92">
        <v>0</v>
      </c>
    </row>
    <row r="93" spans="1:9" x14ac:dyDescent="0.25">
      <c r="A93" t="s">
        <v>187</v>
      </c>
      <c r="B93" t="s">
        <v>28</v>
      </c>
      <c r="C93" s="19" t="s">
        <v>276</v>
      </c>
      <c r="D93">
        <v>222.08699999999999</v>
      </c>
      <c r="E93">
        <v>149.94566639641181</v>
      </c>
      <c r="F93">
        <v>142.62942018166271</v>
      </c>
      <c r="G93">
        <v>142.62942018166271</v>
      </c>
      <c r="H93">
        <v>28.129989013968299</v>
      </c>
      <c r="I93">
        <v>28.129989013968299</v>
      </c>
    </row>
    <row r="94" spans="1:9" x14ac:dyDescent="0.25">
      <c r="A94" t="s">
        <v>187</v>
      </c>
      <c r="B94" t="s">
        <v>28</v>
      </c>
      <c r="C94" s="19" t="s">
        <v>277</v>
      </c>
      <c r="D94">
        <v>204</v>
      </c>
      <c r="E94">
        <v>158.44455578116279</v>
      </c>
      <c r="F94">
        <v>151.12153333821021</v>
      </c>
      <c r="G94">
        <v>151.12153333821021</v>
      </c>
      <c r="H94">
        <v>3.2198940486852168</v>
      </c>
      <c r="I94">
        <v>3.2198940486852168</v>
      </c>
    </row>
    <row r="95" spans="1:9" x14ac:dyDescent="0.25">
      <c r="A95" t="s">
        <v>187</v>
      </c>
      <c r="B95" t="s">
        <v>28</v>
      </c>
      <c r="C95" s="19" t="s">
        <v>278</v>
      </c>
      <c r="D95">
        <v>204</v>
      </c>
      <c r="E95">
        <v>200.53438894806069</v>
      </c>
      <c r="F95">
        <v>198.147470441113</v>
      </c>
      <c r="G95">
        <v>198.147470441113</v>
      </c>
      <c r="H95">
        <v>0</v>
      </c>
      <c r="I95">
        <v>0</v>
      </c>
    </row>
    <row r="96" spans="1:9" x14ac:dyDescent="0.25">
      <c r="A96" t="s">
        <v>187</v>
      </c>
      <c r="B96" t="s">
        <v>28</v>
      </c>
      <c r="C96" s="19" t="s">
        <v>279</v>
      </c>
      <c r="D96">
        <v>204</v>
      </c>
      <c r="E96">
        <v>203.673911590887</v>
      </c>
      <c r="F96">
        <v>203.63911841304369</v>
      </c>
      <c r="G96">
        <v>203.63911841304369</v>
      </c>
      <c r="H96">
        <v>0</v>
      </c>
      <c r="I96">
        <v>0</v>
      </c>
    </row>
    <row r="97" spans="1:9" x14ac:dyDescent="0.25">
      <c r="A97" t="s">
        <v>187</v>
      </c>
      <c r="B97" t="s">
        <v>28</v>
      </c>
      <c r="C97" s="19" t="s">
        <v>280</v>
      </c>
      <c r="D97">
        <v>222.08699999999999</v>
      </c>
      <c r="E97">
        <v>222.08695652173921</v>
      </c>
      <c r="F97">
        <v>222.08695652173921</v>
      </c>
      <c r="G97">
        <v>222.08695652173921</v>
      </c>
      <c r="H97">
        <v>0</v>
      </c>
      <c r="I97">
        <v>0</v>
      </c>
    </row>
    <row r="98" spans="1:9" x14ac:dyDescent="0.25">
      <c r="A98" t="s">
        <v>187</v>
      </c>
      <c r="B98" t="s">
        <v>28</v>
      </c>
      <c r="C98" s="19" t="s">
        <v>281</v>
      </c>
      <c r="D98">
        <v>211.1</v>
      </c>
      <c r="E98">
        <v>205.66528564383799</v>
      </c>
      <c r="F98">
        <v>204.86424087497321</v>
      </c>
      <c r="G98">
        <v>204.86424087497321</v>
      </c>
      <c r="H98">
        <v>0</v>
      </c>
      <c r="I98">
        <v>0</v>
      </c>
    </row>
    <row r="99" spans="1:9" x14ac:dyDescent="0.25">
      <c r="A99" t="s">
        <v>187</v>
      </c>
      <c r="B99" t="s">
        <v>28</v>
      </c>
      <c r="C99" s="19" t="s">
        <v>282</v>
      </c>
      <c r="D99">
        <v>245.8</v>
      </c>
      <c r="E99">
        <v>184.45342405862721</v>
      </c>
      <c r="F99">
        <v>175.21809816414691</v>
      </c>
      <c r="G99">
        <v>175.21809816414691</v>
      </c>
      <c r="H99">
        <v>0.42905585423118558</v>
      </c>
      <c r="I99">
        <v>0.42905585423118558</v>
      </c>
    </row>
    <row r="100" spans="1:9" x14ac:dyDescent="0.25">
      <c r="A100" t="s">
        <v>187</v>
      </c>
      <c r="B100" t="s">
        <v>28</v>
      </c>
      <c r="C100" s="19" t="s">
        <v>283</v>
      </c>
      <c r="D100">
        <v>222.08699999999999</v>
      </c>
      <c r="E100">
        <v>217.72695095329109</v>
      </c>
      <c r="F100">
        <v>214.12757874087981</v>
      </c>
      <c r="G100">
        <v>214.12757874087981</v>
      </c>
      <c r="H100">
        <v>0</v>
      </c>
      <c r="I100">
        <v>0</v>
      </c>
    </row>
    <row r="101" spans="1:9" x14ac:dyDescent="0.25">
      <c r="A101" t="s">
        <v>187</v>
      </c>
      <c r="B101" t="s">
        <v>28</v>
      </c>
      <c r="C101" s="19" t="s">
        <v>264</v>
      </c>
      <c r="D101">
        <v>256.60000000000002</v>
      </c>
      <c r="E101">
        <v>204.78498942402541</v>
      </c>
      <c r="F101">
        <v>199.31562011446599</v>
      </c>
      <c r="G101">
        <v>199.31562011446599</v>
      </c>
      <c r="H101">
        <v>0</v>
      </c>
      <c r="I101">
        <v>0</v>
      </c>
    </row>
    <row r="102" spans="1:9" x14ac:dyDescent="0.25">
      <c r="A102" t="s">
        <v>187</v>
      </c>
      <c r="B102" t="s">
        <v>28</v>
      </c>
      <c r="C102" s="19" t="s">
        <v>284</v>
      </c>
      <c r="D102">
        <v>211.1</v>
      </c>
      <c r="E102">
        <v>205.78445101951559</v>
      </c>
      <c r="F102">
        <v>204.9390207224597</v>
      </c>
      <c r="G102">
        <v>204.9390207224597</v>
      </c>
      <c r="H102">
        <v>0</v>
      </c>
      <c r="I102">
        <v>0</v>
      </c>
    </row>
    <row r="103" spans="1:9" x14ac:dyDescent="0.25">
      <c r="A103" t="s">
        <v>187</v>
      </c>
      <c r="B103" t="s">
        <v>28</v>
      </c>
      <c r="C103" s="19" t="s">
        <v>285</v>
      </c>
      <c r="D103">
        <v>234.6</v>
      </c>
      <c r="E103">
        <v>200.85544154960931</v>
      </c>
      <c r="F103">
        <v>195.01342860588011</v>
      </c>
      <c r="G103">
        <v>195.01342860588011</v>
      </c>
      <c r="H103">
        <v>0</v>
      </c>
      <c r="I103">
        <v>0</v>
      </c>
    </row>
    <row r="104" spans="1:9" x14ac:dyDescent="0.25">
      <c r="A104" t="s">
        <v>187</v>
      </c>
      <c r="B104" t="s">
        <v>28</v>
      </c>
      <c r="C104" s="19" t="s">
        <v>209</v>
      </c>
      <c r="D104">
        <v>241.7</v>
      </c>
      <c r="E104">
        <v>212.0241884132285</v>
      </c>
      <c r="F104">
        <v>209.03478675709661</v>
      </c>
      <c r="G104">
        <v>209.0347867570967</v>
      </c>
      <c r="H104">
        <v>0</v>
      </c>
      <c r="I104">
        <v>0</v>
      </c>
    </row>
    <row r="105" spans="1:9" x14ac:dyDescent="0.25">
      <c r="A105" t="s">
        <v>187</v>
      </c>
      <c r="B105" t="s">
        <v>28</v>
      </c>
      <c r="C105" s="19" t="s">
        <v>253</v>
      </c>
      <c r="D105">
        <v>166</v>
      </c>
      <c r="E105">
        <v>165.93399172489271</v>
      </c>
      <c r="F105">
        <v>165.91346944277311</v>
      </c>
      <c r="G105">
        <v>165.91346944277311</v>
      </c>
      <c r="H105">
        <v>0</v>
      </c>
      <c r="I105">
        <v>0</v>
      </c>
    </row>
    <row r="106" spans="1:9" x14ac:dyDescent="0.25">
      <c r="A106" t="s">
        <v>187</v>
      </c>
      <c r="B106" t="s">
        <v>28</v>
      </c>
      <c r="C106" s="20" t="s">
        <v>286</v>
      </c>
      <c r="D106">
        <v>178.5</v>
      </c>
      <c r="E106">
        <v>164.28073855794349</v>
      </c>
      <c r="F106">
        <v>160.9391994373108</v>
      </c>
      <c r="G106">
        <v>160.9391994373108</v>
      </c>
      <c r="H106">
        <v>0</v>
      </c>
      <c r="I106">
        <v>0</v>
      </c>
    </row>
    <row r="107" spans="1:9" x14ac:dyDescent="0.25">
      <c r="A107" t="s">
        <v>187</v>
      </c>
      <c r="B107" t="s">
        <v>28</v>
      </c>
      <c r="C107" s="20" t="s">
        <v>287</v>
      </c>
      <c r="D107">
        <v>178.5</v>
      </c>
      <c r="E107">
        <v>180.1006984633535</v>
      </c>
      <c r="F107">
        <v>190.17786734860189</v>
      </c>
      <c r="G107">
        <v>190.17786734860189</v>
      </c>
      <c r="H107">
        <v>413.34306215766861</v>
      </c>
      <c r="I107">
        <v>413.34306215766873</v>
      </c>
    </row>
    <row r="108" spans="1:9" x14ac:dyDescent="0.25">
      <c r="A108" t="s">
        <v>187</v>
      </c>
      <c r="B108" t="s">
        <v>28</v>
      </c>
      <c r="C108" s="20" t="s">
        <v>288</v>
      </c>
      <c r="D108">
        <v>178.5</v>
      </c>
      <c r="E108">
        <v>95.493935825765178</v>
      </c>
      <c r="F108">
        <v>79.893222068728022</v>
      </c>
      <c r="G108">
        <v>80.133951244161551</v>
      </c>
      <c r="H108">
        <v>0</v>
      </c>
      <c r="I108">
        <v>0</v>
      </c>
    </row>
    <row r="109" spans="1:9" ht="17.45" customHeight="1" x14ac:dyDescent="0.25">
      <c r="A109" t="s">
        <v>187</v>
      </c>
      <c r="B109" t="s">
        <v>28</v>
      </c>
      <c r="C109" s="20" t="s">
        <v>289</v>
      </c>
      <c r="D109">
        <v>222.08699999999999</v>
      </c>
      <c r="E109">
        <v>144.117615525557</v>
      </c>
      <c r="F109">
        <v>111.8617080751378</v>
      </c>
      <c r="G109">
        <v>111.8617080751378</v>
      </c>
      <c r="H109">
        <v>0</v>
      </c>
      <c r="I109">
        <v>0</v>
      </c>
    </row>
    <row r="110" spans="1:9" x14ac:dyDescent="0.25">
      <c r="A110" t="s">
        <v>187</v>
      </c>
      <c r="B110" t="s">
        <v>28</v>
      </c>
      <c r="C110" t="s">
        <v>290</v>
      </c>
      <c r="D110">
        <v>192</v>
      </c>
      <c r="E110">
        <v>179.4060101719096</v>
      </c>
      <c r="F110">
        <v>182.63656484183531</v>
      </c>
      <c r="G110">
        <v>185.09608800362949</v>
      </c>
      <c r="H110">
        <v>140.1492070561622</v>
      </c>
      <c r="I110">
        <v>203.1531354921969</v>
      </c>
    </row>
    <row r="111" spans="1:9" x14ac:dyDescent="0.25">
      <c r="A111" t="s">
        <v>187</v>
      </c>
      <c r="B111" t="s">
        <v>28</v>
      </c>
      <c r="C111" t="s">
        <v>291</v>
      </c>
      <c r="D111">
        <v>191.8</v>
      </c>
      <c r="E111">
        <v>179.13856043525951</v>
      </c>
      <c r="F111">
        <v>177.3848913899823</v>
      </c>
      <c r="G111">
        <v>177.37526383462611</v>
      </c>
      <c r="H111">
        <v>54.703532265251873</v>
      </c>
      <c r="I111">
        <v>54.703532220375173</v>
      </c>
    </row>
    <row r="112" spans="1:9" x14ac:dyDescent="0.25">
      <c r="A112" t="s">
        <v>187</v>
      </c>
      <c r="B112" t="s">
        <v>28</v>
      </c>
      <c r="C112" t="s">
        <v>292</v>
      </c>
      <c r="D112">
        <v>191.8</v>
      </c>
      <c r="E112">
        <v>189.40117249434749</v>
      </c>
      <c r="F112">
        <v>189.2596499542783</v>
      </c>
      <c r="G112">
        <v>189.2596499542783</v>
      </c>
      <c r="H112">
        <v>0</v>
      </c>
      <c r="I112">
        <v>0</v>
      </c>
    </row>
    <row r="113" spans="1:9" x14ac:dyDescent="0.25">
      <c r="A113" t="s">
        <v>187</v>
      </c>
      <c r="B113" t="s">
        <v>28</v>
      </c>
      <c r="C113" t="s">
        <v>293</v>
      </c>
      <c r="D113">
        <v>222.08699999999999</v>
      </c>
      <c r="E113">
        <v>207.05876994341219</v>
      </c>
      <c r="F113">
        <v>208.47159634062331</v>
      </c>
      <c r="G113">
        <v>208.47159634062331</v>
      </c>
      <c r="H113">
        <v>942.49445836794871</v>
      </c>
      <c r="I113">
        <v>942.49445836794871</v>
      </c>
    </row>
    <row r="114" spans="1:9" x14ac:dyDescent="0.25">
      <c r="A114" t="s">
        <v>187</v>
      </c>
      <c r="B114" t="s">
        <v>70</v>
      </c>
      <c r="C114" s="21" t="s">
        <v>207</v>
      </c>
      <c r="D114">
        <v>260</v>
      </c>
      <c r="E114">
        <v>235.34936014246381</v>
      </c>
      <c r="F114">
        <v>231.3224681888515</v>
      </c>
      <c r="G114">
        <v>231.3224681888515</v>
      </c>
      <c r="H114">
        <v>73.685156161049974</v>
      </c>
      <c r="I114">
        <v>73.685156161049974</v>
      </c>
    </row>
    <row r="115" spans="1:9" x14ac:dyDescent="0.25">
      <c r="A115" t="s">
        <v>187</v>
      </c>
      <c r="B115" t="s">
        <v>70</v>
      </c>
      <c r="C115" s="19" t="s">
        <v>294</v>
      </c>
      <c r="D115">
        <v>269</v>
      </c>
      <c r="E115">
        <v>240.49537988984301</v>
      </c>
      <c r="F115">
        <v>232.84933231529689</v>
      </c>
      <c r="G115">
        <v>232.84933231529689</v>
      </c>
      <c r="H115">
        <v>19.434690692105018</v>
      </c>
      <c r="I115">
        <v>19.434690692105018</v>
      </c>
    </row>
    <row r="116" spans="1:9" x14ac:dyDescent="0.25">
      <c r="A116" t="s">
        <v>187</v>
      </c>
      <c r="B116" t="s">
        <v>70</v>
      </c>
      <c r="C116" s="19" t="s">
        <v>295</v>
      </c>
      <c r="D116">
        <v>267</v>
      </c>
      <c r="E116">
        <v>243.55229832956411</v>
      </c>
      <c r="F116">
        <v>240.45930484900191</v>
      </c>
      <c r="G116">
        <v>240.45930484900191</v>
      </c>
      <c r="H116">
        <v>62.262454999863728</v>
      </c>
      <c r="I116">
        <v>62.262454999863728</v>
      </c>
    </row>
    <row r="117" spans="1:9" x14ac:dyDescent="0.25">
      <c r="A117" t="s">
        <v>187</v>
      </c>
      <c r="B117" t="s">
        <v>70</v>
      </c>
      <c r="C117" s="19" t="s">
        <v>296</v>
      </c>
      <c r="D117">
        <v>244</v>
      </c>
      <c r="E117">
        <v>225.73511674024971</v>
      </c>
      <c r="F117">
        <v>225.6219412037716</v>
      </c>
      <c r="G117">
        <v>225.6219412037716</v>
      </c>
      <c r="H117">
        <v>32.453446737533028</v>
      </c>
      <c r="I117">
        <v>32.453446737533028</v>
      </c>
    </row>
    <row r="118" spans="1:9" x14ac:dyDescent="0.25">
      <c r="A118" t="s">
        <v>187</v>
      </c>
      <c r="B118" t="s">
        <v>70</v>
      </c>
      <c r="C118" s="19" t="s">
        <v>285</v>
      </c>
      <c r="D118">
        <v>244</v>
      </c>
      <c r="E118">
        <v>201.77028960751289</v>
      </c>
      <c r="F118">
        <v>200.54054759345701</v>
      </c>
      <c r="G118">
        <v>200.54054760739581</v>
      </c>
      <c r="H118">
        <v>96.759737693256866</v>
      </c>
      <c r="I118">
        <v>96.759737693256866</v>
      </c>
    </row>
    <row r="119" spans="1:9" x14ac:dyDescent="0.25">
      <c r="A119" t="s">
        <v>187</v>
      </c>
      <c r="B119" t="s">
        <v>70</v>
      </c>
      <c r="C119" s="19" t="s">
        <v>209</v>
      </c>
      <c r="D119">
        <v>249</v>
      </c>
      <c r="E119">
        <v>208.76110813300619</v>
      </c>
      <c r="F119">
        <v>200.67276967564899</v>
      </c>
      <c r="G119">
        <v>200.6727694348684</v>
      </c>
      <c r="H119">
        <v>31.44888195554211</v>
      </c>
      <c r="I119">
        <v>31.44888195554212</v>
      </c>
    </row>
    <row r="120" spans="1:9" x14ac:dyDescent="0.25">
      <c r="A120" t="s">
        <v>187</v>
      </c>
      <c r="B120" t="s">
        <v>70</v>
      </c>
      <c r="C120" s="19" t="s">
        <v>297</v>
      </c>
      <c r="D120">
        <v>249</v>
      </c>
      <c r="E120">
        <v>178.40695002815659</v>
      </c>
      <c r="F120">
        <v>143.92792277370029</v>
      </c>
      <c r="G120">
        <v>143.92792277370029</v>
      </c>
      <c r="H120">
        <v>0</v>
      </c>
      <c r="I120">
        <v>0</v>
      </c>
    </row>
    <row r="121" spans="1:9" x14ac:dyDescent="0.25">
      <c r="A121" t="s">
        <v>187</v>
      </c>
      <c r="B121" t="s">
        <v>70</v>
      </c>
      <c r="C121" s="19" t="s">
        <v>298</v>
      </c>
      <c r="D121">
        <v>255</v>
      </c>
      <c r="E121">
        <v>232.72778808266861</v>
      </c>
      <c r="F121">
        <v>231.2399693522969</v>
      </c>
      <c r="G121">
        <v>231.2399788889451</v>
      </c>
      <c r="H121">
        <v>102.39421068712601</v>
      </c>
      <c r="I121">
        <v>102.39421068712601</v>
      </c>
    </row>
    <row r="122" spans="1:9" x14ac:dyDescent="0.25">
      <c r="A122" t="s">
        <v>187</v>
      </c>
      <c r="B122" t="s">
        <v>70</v>
      </c>
      <c r="C122" s="19" t="s">
        <v>299</v>
      </c>
      <c r="D122">
        <v>332</v>
      </c>
      <c r="E122">
        <v>268.39580564943242</v>
      </c>
      <c r="F122">
        <v>228.42535643056939</v>
      </c>
      <c r="G122">
        <v>228.42535643056939</v>
      </c>
      <c r="H122">
        <v>0</v>
      </c>
      <c r="I122">
        <v>0</v>
      </c>
    </row>
    <row r="123" spans="1:9" x14ac:dyDescent="0.25">
      <c r="A123" t="s">
        <v>187</v>
      </c>
      <c r="B123" t="s">
        <v>61</v>
      </c>
      <c r="C123" t="s">
        <v>300</v>
      </c>
      <c r="D123">
        <v>281</v>
      </c>
      <c r="E123">
        <v>273.83582901044571</v>
      </c>
      <c r="F123">
        <v>267.3413313488636</v>
      </c>
      <c r="G123">
        <v>267.81588504113222</v>
      </c>
      <c r="H123">
        <v>87.656103505793624</v>
      </c>
      <c r="I123">
        <v>90.009787583203021</v>
      </c>
    </row>
    <row r="124" spans="1:9" x14ac:dyDescent="0.25">
      <c r="A124" t="s">
        <v>187</v>
      </c>
      <c r="B124" t="s">
        <v>37</v>
      </c>
      <c r="C124" s="21" t="s">
        <v>301</v>
      </c>
      <c r="D124">
        <v>257</v>
      </c>
      <c r="E124">
        <v>214.6695827187838</v>
      </c>
      <c r="F124">
        <v>209.51379435967181</v>
      </c>
      <c r="G124">
        <v>209.51379434875889</v>
      </c>
      <c r="H124">
        <v>0</v>
      </c>
      <c r="I124">
        <v>0</v>
      </c>
    </row>
    <row r="125" spans="1:9" x14ac:dyDescent="0.25">
      <c r="A125" t="s">
        <v>187</v>
      </c>
      <c r="B125" t="s">
        <v>37</v>
      </c>
      <c r="C125" s="19" t="s">
        <v>207</v>
      </c>
      <c r="D125">
        <v>265.2</v>
      </c>
      <c r="E125">
        <v>261.1646382930191</v>
      </c>
      <c r="F125">
        <v>261.51732439678489</v>
      </c>
      <c r="G125">
        <v>261.67113962221032</v>
      </c>
      <c r="H125">
        <v>147.03132585732999</v>
      </c>
      <c r="I125">
        <v>157.74629475060951</v>
      </c>
    </row>
    <row r="126" spans="1:9" x14ac:dyDescent="0.25">
      <c r="A126" t="s">
        <v>187</v>
      </c>
      <c r="B126" t="s">
        <v>37</v>
      </c>
      <c r="C126" s="19" t="s">
        <v>261</v>
      </c>
      <c r="D126">
        <v>265.2</v>
      </c>
      <c r="E126">
        <v>253.1335917674069</v>
      </c>
      <c r="F126">
        <v>251.85115289777039</v>
      </c>
      <c r="G126">
        <v>251.89269119024769</v>
      </c>
      <c r="H126">
        <v>71.480487431365262</v>
      </c>
      <c r="I126">
        <v>74.282639438919887</v>
      </c>
    </row>
    <row r="127" spans="1:9" x14ac:dyDescent="0.25">
      <c r="A127" t="s">
        <v>187</v>
      </c>
      <c r="B127" t="s">
        <v>37</v>
      </c>
      <c r="C127" s="19" t="s">
        <v>280</v>
      </c>
      <c r="D127">
        <v>232.6</v>
      </c>
      <c r="E127">
        <v>186.37983652771979</v>
      </c>
      <c r="F127">
        <v>184.39728041597891</v>
      </c>
      <c r="G127">
        <v>184.39728041597891</v>
      </c>
      <c r="H127">
        <v>0</v>
      </c>
      <c r="I127">
        <v>0</v>
      </c>
    </row>
    <row r="128" spans="1:9" x14ac:dyDescent="0.25">
      <c r="A128" t="s">
        <v>187</v>
      </c>
      <c r="B128" t="s">
        <v>37</v>
      </c>
      <c r="C128" s="19" t="s">
        <v>281</v>
      </c>
      <c r="D128">
        <v>230.5</v>
      </c>
      <c r="E128">
        <v>234.58270806098309</v>
      </c>
      <c r="F128">
        <v>234.3508563940988</v>
      </c>
      <c r="G128">
        <v>234.3508563727344</v>
      </c>
      <c r="H128">
        <v>79.381822339397843</v>
      </c>
      <c r="I128">
        <v>79.381822339397843</v>
      </c>
    </row>
    <row r="129" spans="1:9" x14ac:dyDescent="0.25">
      <c r="A129" t="s">
        <v>187</v>
      </c>
      <c r="B129" t="s">
        <v>37</v>
      </c>
      <c r="C129" s="19" t="s">
        <v>264</v>
      </c>
      <c r="D129">
        <v>265.2</v>
      </c>
      <c r="E129">
        <v>274.63112953394932</v>
      </c>
      <c r="F129">
        <v>272.80986945979578</v>
      </c>
      <c r="G129">
        <v>272.89387034224143</v>
      </c>
      <c r="H129">
        <v>94.001298570613613</v>
      </c>
      <c r="I129">
        <v>97.093003280548601</v>
      </c>
    </row>
    <row r="130" spans="1:9" x14ac:dyDescent="0.25">
      <c r="A130" t="s">
        <v>187</v>
      </c>
      <c r="B130" t="s">
        <v>37</v>
      </c>
      <c r="C130" s="19" t="s">
        <v>302</v>
      </c>
      <c r="D130">
        <v>290.7</v>
      </c>
      <c r="E130">
        <v>288.6784979651751</v>
      </c>
      <c r="F130">
        <v>288.53837096960439</v>
      </c>
      <c r="G130">
        <v>288.53837096960439</v>
      </c>
      <c r="H130">
        <v>0</v>
      </c>
      <c r="I130">
        <v>0</v>
      </c>
    </row>
    <row r="131" spans="1:9" x14ac:dyDescent="0.25">
      <c r="A131" t="s">
        <v>187</v>
      </c>
      <c r="B131" t="s">
        <v>37</v>
      </c>
      <c r="C131" s="19" t="s">
        <v>303</v>
      </c>
      <c r="D131">
        <v>236.6</v>
      </c>
      <c r="E131">
        <v>244.32621729431949</v>
      </c>
      <c r="F131">
        <v>244.48554742291751</v>
      </c>
      <c r="G131">
        <v>244.4855474231197</v>
      </c>
      <c r="H131">
        <v>153.91462548322741</v>
      </c>
      <c r="I131">
        <v>153.91462548322741</v>
      </c>
    </row>
    <row r="132" spans="1:9" x14ac:dyDescent="0.25">
      <c r="A132" t="s">
        <v>187</v>
      </c>
      <c r="B132" t="s">
        <v>37</v>
      </c>
      <c r="C132" s="19" t="s">
        <v>285</v>
      </c>
      <c r="D132">
        <v>255</v>
      </c>
      <c r="E132">
        <v>255.88911609097701</v>
      </c>
      <c r="F132">
        <v>255.1986136633993</v>
      </c>
      <c r="G132">
        <v>255.34783741832831</v>
      </c>
      <c r="H132">
        <v>74.344198568155704</v>
      </c>
      <c r="I132">
        <v>76.922527124268839</v>
      </c>
    </row>
    <row r="133" spans="1:9" x14ac:dyDescent="0.25">
      <c r="A133" t="s">
        <v>187</v>
      </c>
      <c r="B133" t="s">
        <v>37</v>
      </c>
      <c r="C133" s="19" t="s">
        <v>209</v>
      </c>
      <c r="D133">
        <v>254.9</v>
      </c>
      <c r="E133">
        <v>176.44269726105719</v>
      </c>
      <c r="F133">
        <v>171.3120235248025</v>
      </c>
      <c r="G133">
        <v>171.3120235150075</v>
      </c>
      <c r="H133">
        <v>4.6242502190586032</v>
      </c>
      <c r="I133">
        <v>4.6242502190586023</v>
      </c>
    </row>
    <row r="134" spans="1:9" x14ac:dyDescent="0.25">
      <c r="A134" t="s">
        <v>187</v>
      </c>
      <c r="B134" t="s">
        <v>37</v>
      </c>
      <c r="C134" s="19" t="s">
        <v>266</v>
      </c>
      <c r="D134">
        <v>257</v>
      </c>
      <c r="E134">
        <v>251.71865225988839</v>
      </c>
      <c r="F134">
        <v>237.705880637175</v>
      </c>
      <c r="G134">
        <v>237.71677383367091</v>
      </c>
      <c r="H134">
        <v>287.3601886596141</v>
      </c>
      <c r="I134">
        <v>289.98706015435482</v>
      </c>
    </row>
    <row r="135" spans="1:9" x14ac:dyDescent="0.25">
      <c r="A135" t="s">
        <v>187</v>
      </c>
      <c r="B135" t="s">
        <v>37</v>
      </c>
      <c r="C135" s="19" t="s">
        <v>188</v>
      </c>
      <c r="D135">
        <v>265.74599999999998</v>
      </c>
      <c r="G135">
        <v>252.2953239746308</v>
      </c>
      <c r="I135">
        <v>113.0301981796198</v>
      </c>
    </row>
    <row r="136" spans="1:9" x14ac:dyDescent="0.25">
      <c r="A136" t="s">
        <v>187</v>
      </c>
      <c r="B136" t="s">
        <v>190</v>
      </c>
      <c r="C136" s="21" t="s">
        <v>261</v>
      </c>
      <c r="D136">
        <v>280.5</v>
      </c>
      <c r="E136">
        <v>277.89278054238582</v>
      </c>
      <c r="F136">
        <v>278.77302192281172</v>
      </c>
      <c r="H136">
        <v>163.62506911438931</v>
      </c>
    </row>
    <row r="137" spans="1:9" x14ac:dyDescent="0.25">
      <c r="A137" t="s">
        <v>187</v>
      </c>
      <c r="B137" t="s">
        <v>190</v>
      </c>
      <c r="C137" s="19" t="s">
        <v>264</v>
      </c>
      <c r="D137">
        <v>290.7</v>
      </c>
      <c r="E137">
        <v>289.92823502813201</v>
      </c>
      <c r="F137">
        <v>284.56539835534272</v>
      </c>
      <c r="H137">
        <v>0</v>
      </c>
    </row>
    <row r="138" spans="1:9" x14ac:dyDescent="0.25">
      <c r="A138" t="s">
        <v>187</v>
      </c>
      <c r="B138" t="s">
        <v>190</v>
      </c>
      <c r="C138" s="19" t="s">
        <v>306</v>
      </c>
      <c r="D138">
        <v>321.3</v>
      </c>
      <c r="E138">
        <v>320.76418195341722</v>
      </c>
      <c r="F138">
        <v>318.27320653250149</v>
      </c>
      <c r="H138">
        <v>0</v>
      </c>
    </row>
    <row r="139" spans="1:9" x14ac:dyDescent="0.25">
      <c r="A139" t="s">
        <v>187</v>
      </c>
      <c r="B139" t="s">
        <v>55</v>
      </c>
      <c r="C139" s="21" t="s">
        <v>307</v>
      </c>
      <c r="D139">
        <v>263.2</v>
      </c>
      <c r="E139">
        <v>228.53314895554641</v>
      </c>
      <c r="F139">
        <v>227.20064584775179</v>
      </c>
      <c r="H139">
        <v>95.108239926872344</v>
      </c>
    </row>
    <row r="140" spans="1:9" x14ac:dyDescent="0.25">
      <c r="A140" t="s">
        <v>187</v>
      </c>
      <c r="B140" t="s">
        <v>55</v>
      </c>
      <c r="C140" s="19" t="s">
        <v>294</v>
      </c>
      <c r="D140">
        <v>263.2</v>
      </c>
      <c r="E140">
        <v>242.06014954045941</v>
      </c>
      <c r="F140">
        <v>240.836590452698</v>
      </c>
      <c r="H140">
        <v>7.9493900026927227</v>
      </c>
    </row>
    <row r="141" spans="1:9" x14ac:dyDescent="0.25">
      <c r="A141" t="s">
        <v>187</v>
      </c>
      <c r="B141" t="s">
        <v>55</v>
      </c>
      <c r="C141" s="19" t="s">
        <v>257</v>
      </c>
      <c r="D141">
        <v>258.10000000000002</v>
      </c>
      <c r="E141">
        <v>239.436281816389</v>
      </c>
      <c r="F141">
        <v>242.2699434325304</v>
      </c>
      <c r="H141">
        <v>153.30057073804059</v>
      </c>
    </row>
    <row r="142" spans="1:9" x14ac:dyDescent="0.25">
      <c r="A142" t="s">
        <v>187</v>
      </c>
      <c r="B142" t="s">
        <v>91</v>
      </c>
      <c r="C142" t="s">
        <v>259</v>
      </c>
      <c r="D142">
        <v>284.60000000000002</v>
      </c>
      <c r="E142">
        <v>280.93788286840658</v>
      </c>
      <c r="F142">
        <v>281.04957292028922</v>
      </c>
      <c r="H142">
        <v>106.743727469842</v>
      </c>
    </row>
    <row r="143" spans="1:9" x14ac:dyDescent="0.25">
      <c r="A143" t="s">
        <v>187</v>
      </c>
      <c r="B143" t="s">
        <v>60</v>
      </c>
      <c r="C143" s="19" t="s">
        <v>308</v>
      </c>
      <c r="D143">
        <v>221</v>
      </c>
      <c r="E143">
        <v>217.073695238173</v>
      </c>
      <c r="F143">
        <v>217.024564203907</v>
      </c>
      <c r="G143">
        <v>217.024564203907</v>
      </c>
      <c r="H143">
        <v>0</v>
      </c>
      <c r="I143">
        <v>0</v>
      </c>
    </row>
    <row r="144" spans="1:9" x14ac:dyDescent="0.25">
      <c r="A144" t="s">
        <v>187</v>
      </c>
      <c r="B144" t="s">
        <v>60</v>
      </c>
      <c r="C144" s="19" t="s">
        <v>309</v>
      </c>
      <c r="D144">
        <v>194</v>
      </c>
      <c r="E144">
        <v>191.23281492554179</v>
      </c>
      <c r="F144">
        <v>194.04148207411069</v>
      </c>
      <c r="G144">
        <v>194.04148207411069</v>
      </c>
      <c r="H144">
        <v>269.42977746935588</v>
      </c>
      <c r="I144">
        <v>269.42977746935588</v>
      </c>
    </row>
    <row r="145" spans="1:9" x14ac:dyDescent="0.25">
      <c r="A145" t="s">
        <v>187</v>
      </c>
      <c r="B145" t="s">
        <v>60</v>
      </c>
      <c r="C145" s="19" t="s">
        <v>310</v>
      </c>
      <c r="D145">
        <v>196</v>
      </c>
      <c r="E145">
        <v>194.1496731445269</v>
      </c>
      <c r="F145">
        <v>192.89086842030119</v>
      </c>
      <c r="G145">
        <v>192.89086842030119</v>
      </c>
      <c r="H145">
        <v>0</v>
      </c>
      <c r="I145">
        <v>0</v>
      </c>
    </row>
    <row r="146" spans="1:9" x14ac:dyDescent="0.25">
      <c r="A146" t="s">
        <v>187</v>
      </c>
      <c r="B146" t="s">
        <v>60</v>
      </c>
      <c r="C146" s="19" t="s">
        <v>204</v>
      </c>
      <c r="D146">
        <v>209</v>
      </c>
      <c r="E146">
        <v>187.56284826463209</v>
      </c>
      <c r="F146">
        <v>156.81884525343901</v>
      </c>
      <c r="G146">
        <v>156.81884525343901</v>
      </c>
      <c r="H146">
        <v>0</v>
      </c>
      <c r="I146">
        <v>0</v>
      </c>
    </row>
    <row r="147" spans="1:9" x14ac:dyDescent="0.25">
      <c r="A147" t="s">
        <v>187</v>
      </c>
      <c r="B147" t="s">
        <v>60</v>
      </c>
      <c r="C147" s="19" t="s">
        <v>273</v>
      </c>
      <c r="D147">
        <v>213</v>
      </c>
      <c r="E147">
        <v>209.32157982161979</v>
      </c>
      <c r="F147">
        <v>206.5925009555192</v>
      </c>
      <c r="G147">
        <v>206.5925009555192</v>
      </c>
      <c r="H147">
        <v>0</v>
      </c>
      <c r="I147">
        <v>0</v>
      </c>
    </row>
    <row r="148" spans="1:9" x14ac:dyDescent="0.25">
      <c r="A148" t="s">
        <v>187</v>
      </c>
      <c r="B148" t="s">
        <v>60</v>
      </c>
      <c r="C148" s="19" t="s">
        <v>311</v>
      </c>
      <c r="D148">
        <v>255.86500000000001</v>
      </c>
      <c r="E148">
        <v>251.19405330964079</v>
      </c>
      <c r="F148">
        <v>227.1112613040319</v>
      </c>
      <c r="G148">
        <v>227.1112613040319</v>
      </c>
      <c r="H148">
        <v>0</v>
      </c>
      <c r="I148">
        <v>0</v>
      </c>
    </row>
    <row r="149" spans="1:9" x14ac:dyDescent="0.25">
      <c r="A149" t="s">
        <v>187</v>
      </c>
      <c r="B149" t="s">
        <v>60</v>
      </c>
      <c r="C149" s="19" t="s">
        <v>312</v>
      </c>
      <c r="D149">
        <v>216</v>
      </c>
      <c r="E149">
        <v>206.16131714409849</v>
      </c>
      <c r="F149">
        <v>204.71782316666111</v>
      </c>
      <c r="G149">
        <v>204.71782316666111</v>
      </c>
      <c r="H149">
        <v>0</v>
      </c>
      <c r="I149">
        <v>0</v>
      </c>
    </row>
    <row r="150" spans="1:9" x14ac:dyDescent="0.25">
      <c r="A150" t="s">
        <v>187</v>
      </c>
      <c r="B150" t="s">
        <v>60</v>
      </c>
      <c r="C150" s="19" t="s">
        <v>313</v>
      </c>
      <c r="D150">
        <v>220</v>
      </c>
      <c r="E150">
        <v>218.76892586425541</v>
      </c>
      <c r="F150">
        <v>217.9411583497461</v>
      </c>
      <c r="G150">
        <v>217.9411583497461</v>
      </c>
      <c r="H150">
        <v>0</v>
      </c>
      <c r="I150">
        <v>0</v>
      </c>
    </row>
    <row r="151" spans="1:9" x14ac:dyDescent="0.25">
      <c r="A151" t="s">
        <v>187</v>
      </c>
      <c r="B151" t="s">
        <v>60</v>
      </c>
      <c r="C151" s="19" t="s">
        <v>314</v>
      </c>
      <c r="D151">
        <v>223</v>
      </c>
      <c r="E151">
        <v>226.1121166482049</v>
      </c>
      <c r="F151">
        <v>229.5104167748957</v>
      </c>
      <c r="G151">
        <v>229.5104167748957</v>
      </c>
      <c r="H151">
        <v>540.75348535051808</v>
      </c>
      <c r="I151">
        <v>540.75348535051808</v>
      </c>
    </row>
    <row r="152" spans="1:9" x14ac:dyDescent="0.25">
      <c r="A152" t="s">
        <v>187</v>
      </c>
      <c r="B152" t="s">
        <v>60</v>
      </c>
      <c r="C152" s="19" t="s">
        <v>315</v>
      </c>
      <c r="D152">
        <v>240</v>
      </c>
      <c r="E152">
        <v>239.54668378041609</v>
      </c>
      <c r="F152">
        <v>239.55774517409691</v>
      </c>
      <c r="G152">
        <v>239.55774517409691</v>
      </c>
      <c r="H152">
        <v>0</v>
      </c>
      <c r="I152">
        <v>0</v>
      </c>
    </row>
    <row r="153" spans="1:9" x14ac:dyDescent="0.25">
      <c r="A153" t="s">
        <v>187</v>
      </c>
      <c r="B153" t="s">
        <v>60</v>
      </c>
      <c r="C153" s="19" t="s">
        <v>218</v>
      </c>
      <c r="D153">
        <v>232</v>
      </c>
      <c r="E153">
        <v>222.0110158785605</v>
      </c>
      <c r="F153">
        <v>211.48523280819859</v>
      </c>
      <c r="G153">
        <v>211.48523280819859</v>
      </c>
      <c r="H153">
        <v>0</v>
      </c>
      <c r="I153">
        <v>0</v>
      </c>
    </row>
    <row r="154" spans="1:9" x14ac:dyDescent="0.25">
      <c r="A154" t="s">
        <v>187</v>
      </c>
      <c r="B154" t="s">
        <v>60</v>
      </c>
      <c r="C154" s="19" t="s">
        <v>199</v>
      </c>
      <c r="D154">
        <v>249</v>
      </c>
      <c r="E154">
        <v>236.8036528223858</v>
      </c>
      <c r="F154">
        <v>236.65622138235361</v>
      </c>
      <c r="G154">
        <v>236.65622138235361</v>
      </c>
      <c r="H154">
        <v>0</v>
      </c>
      <c r="I154">
        <v>0</v>
      </c>
    </row>
    <row r="155" spans="1:9" x14ac:dyDescent="0.25">
      <c r="A155" t="s">
        <v>187</v>
      </c>
      <c r="B155" t="s">
        <v>60</v>
      </c>
      <c r="C155" s="19" t="s">
        <v>292</v>
      </c>
      <c r="D155">
        <v>179</v>
      </c>
      <c r="E155">
        <v>177.78323137217831</v>
      </c>
      <c r="F155">
        <v>178.64225041286539</v>
      </c>
      <c r="G155">
        <v>178.7136735808572</v>
      </c>
      <c r="H155">
        <v>165.75532644349869</v>
      </c>
      <c r="I155">
        <v>173.36442537360179</v>
      </c>
    </row>
    <row r="156" spans="1:9" x14ac:dyDescent="0.25">
      <c r="A156" t="s">
        <v>187</v>
      </c>
      <c r="B156" t="s">
        <v>60</v>
      </c>
      <c r="C156" s="19" t="s">
        <v>316</v>
      </c>
      <c r="D156">
        <v>383</v>
      </c>
      <c r="E156">
        <v>344.24758278012149</v>
      </c>
      <c r="F156">
        <v>338.68112096603448</v>
      </c>
      <c r="G156">
        <v>338.68112096603448</v>
      </c>
      <c r="H156">
        <v>0</v>
      </c>
      <c r="I156">
        <v>0</v>
      </c>
    </row>
    <row r="157" spans="1:9" x14ac:dyDescent="0.25">
      <c r="A157" t="s">
        <v>187</v>
      </c>
      <c r="B157" t="s">
        <v>60</v>
      </c>
      <c r="C157" s="19" t="s">
        <v>228</v>
      </c>
      <c r="D157">
        <v>413</v>
      </c>
      <c r="E157">
        <v>390.95026694149442</v>
      </c>
      <c r="F157">
        <v>389.59795091434307</v>
      </c>
      <c r="G157">
        <v>389.59795091434307</v>
      </c>
      <c r="H157">
        <v>0</v>
      </c>
      <c r="I157">
        <v>0</v>
      </c>
    </row>
    <row r="158" spans="1:9" x14ac:dyDescent="0.25">
      <c r="A158" t="s">
        <v>192</v>
      </c>
      <c r="B158" t="s">
        <v>159</v>
      </c>
      <c r="C158" t="s">
        <v>196</v>
      </c>
      <c r="D158">
        <v>208.69200000000001</v>
      </c>
      <c r="E158">
        <v>168.74152284093751</v>
      </c>
      <c r="F158">
        <v>166.99381180296149</v>
      </c>
      <c r="G158">
        <v>166.99381180296149</v>
      </c>
      <c r="H158">
        <v>24.867310084533742</v>
      </c>
      <c r="I158">
        <v>24.867310084533742</v>
      </c>
    </row>
    <row r="159" spans="1:9" x14ac:dyDescent="0.25">
      <c r="A159" t="s">
        <v>192</v>
      </c>
      <c r="B159" t="s">
        <v>159</v>
      </c>
      <c r="C159" t="s">
        <v>197</v>
      </c>
      <c r="D159">
        <v>208.69200000000001</v>
      </c>
      <c r="E159">
        <v>152.9143788463353</v>
      </c>
      <c r="F159">
        <v>147.94851107403821</v>
      </c>
      <c r="G159">
        <v>152.90444879764351</v>
      </c>
      <c r="H159">
        <v>11.044426173693999</v>
      </c>
      <c r="I159">
        <v>102.635254605147</v>
      </c>
    </row>
    <row r="160" spans="1:9" x14ac:dyDescent="0.25">
      <c r="A160" t="s">
        <v>192</v>
      </c>
      <c r="B160" t="s">
        <v>159</v>
      </c>
      <c r="C160" t="s">
        <v>198</v>
      </c>
      <c r="D160">
        <v>208.69200000000001</v>
      </c>
      <c r="E160">
        <v>209.61812059595681</v>
      </c>
      <c r="F160">
        <v>210.3208645140526</v>
      </c>
      <c r="G160">
        <v>210.99183337465621</v>
      </c>
      <c r="H160">
        <v>134.5477169758617</v>
      </c>
      <c r="I160">
        <v>164.6548464318131</v>
      </c>
    </row>
    <row r="161" spans="1:9" x14ac:dyDescent="0.25">
      <c r="A161" t="s">
        <v>192</v>
      </c>
      <c r="B161" t="s">
        <v>159</v>
      </c>
      <c r="C161" t="s">
        <v>199</v>
      </c>
      <c r="D161">
        <v>208.69200000000001</v>
      </c>
      <c r="E161">
        <v>167.21113143869371</v>
      </c>
      <c r="F161">
        <v>161.74391528030881</v>
      </c>
      <c r="G161">
        <v>161.74391528030881</v>
      </c>
      <c r="H161">
        <v>39.730923368149469</v>
      </c>
      <c r="I161">
        <v>39.730923368149483</v>
      </c>
    </row>
    <row r="162" spans="1:9" x14ac:dyDescent="0.25">
      <c r="A162" t="s">
        <v>192</v>
      </c>
      <c r="B162" t="s">
        <v>159</v>
      </c>
      <c r="C162" t="s">
        <v>200</v>
      </c>
      <c r="D162">
        <v>208.69200000000001</v>
      </c>
      <c r="E162">
        <v>199.84075296804849</v>
      </c>
      <c r="F162">
        <v>198.88789125964951</v>
      </c>
      <c r="G162">
        <v>198.94839706130901</v>
      </c>
      <c r="H162">
        <v>61.777190456741202</v>
      </c>
      <c r="I162">
        <v>64.777480585585138</v>
      </c>
    </row>
    <row r="163" spans="1:9" x14ac:dyDescent="0.25">
      <c r="A163" t="s">
        <v>192</v>
      </c>
      <c r="B163" t="s">
        <v>159</v>
      </c>
      <c r="C163" t="s">
        <v>201</v>
      </c>
      <c r="D163">
        <v>208.69200000000001</v>
      </c>
      <c r="E163">
        <v>183.53285385630139</v>
      </c>
      <c r="F163">
        <v>184.7107351630132</v>
      </c>
      <c r="G163">
        <v>184.71073516301331</v>
      </c>
      <c r="H163">
        <v>23.499610205863132</v>
      </c>
      <c r="I163">
        <v>23.499610205863132</v>
      </c>
    </row>
    <row r="164" spans="1:9" x14ac:dyDescent="0.25">
      <c r="A164" t="s">
        <v>192</v>
      </c>
      <c r="B164" t="s">
        <v>159</v>
      </c>
      <c r="C164" t="s">
        <v>202</v>
      </c>
      <c r="D164">
        <v>208.69200000000001</v>
      </c>
      <c r="E164">
        <v>210.12920435077791</v>
      </c>
      <c r="F164">
        <v>209.83243901823761</v>
      </c>
      <c r="G164">
        <v>209.83243901823769</v>
      </c>
      <c r="H164">
        <v>7.9851860663876558E-3</v>
      </c>
      <c r="I164">
        <v>7.9851860663876558E-3</v>
      </c>
    </row>
    <row r="165" spans="1:9" x14ac:dyDescent="0.25">
      <c r="A165" t="s">
        <v>192</v>
      </c>
      <c r="B165" t="s">
        <v>164</v>
      </c>
      <c r="C165" t="s">
        <v>196</v>
      </c>
      <c r="D165">
        <v>170</v>
      </c>
      <c r="E165">
        <v>166.0275981888197</v>
      </c>
      <c r="F165">
        <v>165.6973290593188</v>
      </c>
      <c r="G165">
        <v>166.49408710958059</v>
      </c>
      <c r="H165">
        <v>106.70645403824101</v>
      </c>
      <c r="I165">
        <v>116.1416355041145</v>
      </c>
    </row>
    <row r="166" spans="1:9" x14ac:dyDescent="0.25">
      <c r="A166" t="s">
        <v>192</v>
      </c>
      <c r="B166" t="s">
        <v>164</v>
      </c>
      <c r="C166" t="s">
        <v>204</v>
      </c>
      <c r="D166">
        <v>179</v>
      </c>
      <c r="E166">
        <v>142.86477036155171</v>
      </c>
      <c r="F166">
        <v>138.81605004336831</v>
      </c>
      <c r="G166">
        <v>138.81605004336831</v>
      </c>
      <c r="H166">
        <v>0</v>
      </c>
      <c r="I166">
        <v>0</v>
      </c>
    </row>
    <row r="167" spans="1:9" x14ac:dyDescent="0.25">
      <c r="A167" t="s">
        <v>192</v>
      </c>
      <c r="B167" t="s">
        <v>164</v>
      </c>
      <c r="C167" t="s">
        <v>205</v>
      </c>
      <c r="D167">
        <v>231</v>
      </c>
      <c r="E167">
        <v>230.0597339956297</v>
      </c>
      <c r="F167">
        <v>230.45817943898339</v>
      </c>
      <c r="G167">
        <v>232.57130542038999</v>
      </c>
      <c r="H167">
        <v>96.433767219603624</v>
      </c>
      <c r="I167">
        <v>144.1946313042624</v>
      </c>
    </row>
    <row r="168" spans="1:9" x14ac:dyDescent="0.25">
      <c r="A168" t="s">
        <v>192</v>
      </c>
      <c r="B168" t="s">
        <v>164</v>
      </c>
      <c r="C168" t="s">
        <v>206</v>
      </c>
      <c r="D168">
        <v>250</v>
      </c>
      <c r="E168">
        <v>245.76813971920291</v>
      </c>
      <c r="F168">
        <v>244.93642811199371</v>
      </c>
      <c r="G168">
        <v>244.96091441023421</v>
      </c>
      <c r="H168">
        <v>87.764585875183471</v>
      </c>
      <c r="I168">
        <v>96.798186119407774</v>
      </c>
    </row>
    <row r="169" spans="1:9" x14ac:dyDescent="0.25">
      <c r="A169" t="s">
        <v>192</v>
      </c>
      <c r="B169" t="s">
        <v>193</v>
      </c>
      <c r="C169" t="s">
        <v>257</v>
      </c>
      <c r="D169">
        <v>240</v>
      </c>
      <c r="E169">
        <v>214.60030135868189</v>
      </c>
      <c r="F169">
        <v>207.37453131713161</v>
      </c>
      <c r="G169">
        <v>220.68205107021291</v>
      </c>
      <c r="H169">
        <v>74.774670415634418</v>
      </c>
      <c r="I169">
        <v>109.11751499266509</v>
      </c>
    </row>
    <row r="170" spans="1:9" x14ac:dyDescent="0.25">
      <c r="A170" t="s">
        <v>192</v>
      </c>
      <c r="B170" t="s">
        <v>193</v>
      </c>
      <c r="C170" t="s">
        <v>258</v>
      </c>
      <c r="D170">
        <v>308</v>
      </c>
      <c r="E170">
        <v>233.8368029463094</v>
      </c>
      <c r="F170">
        <v>212.07321827125639</v>
      </c>
      <c r="G170">
        <v>253.36919655471931</v>
      </c>
      <c r="H170">
        <v>65.434984660011224</v>
      </c>
      <c r="I170">
        <v>153.23361838052071</v>
      </c>
    </row>
    <row r="171" spans="1:9" x14ac:dyDescent="0.25">
      <c r="A171" t="s">
        <v>192</v>
      </c>
      <c r="B171" t="s">
        <v>148</v>
      </c>
      <c r="C171" t="s">
        <v>200</v>
      </c>
      <c r="D171">
        <v>211.46199999999999</v>
      </c>
      <c r="E171">
        <v>177.43720057272381</v>
      </c>
      <c r="F171">
        <v>175.12149188292119</v>
      </c>
      <c r="G171">
        <v>177.01423922159569</v>
      </c>
      <c r="H171">
        <v>49.878427530667658</v>
      </c>
      <c r="I171">
        <v>71.395623149530891</v>
      </c>
    </row>
    <row r="172" spans="1:9" x14ac:dyDescent="0.25">
      <c r="A172" t="s">
        <v>192</v>
      </c>
      <c r="B172" t="s">
        <v>154</v>
      </c>
      <c r="C172" s="21" t="s">
        <v>271</v>
      </c>
      <c r="D172">
        <v>175</v>
      </c>
      <c r="E172">
        <v>147.17407629916559</v>
      </c>
      <c r="F172">
        <v>144.07392212059821</v>
      </c>
      <c r="G172">
        <v>144.3050436186216</v>
      </c>
      <c r="H172">
        <v>63.425753759891627</v>
      </c>
      <c r="I172">
        <v>65.68527611795615</v>
      </c>
    </row>
    <row r="173" spans="1:9" x14ac:dyDescent="0.25">
      <c r="A173" t="s">
        <v>192</v>
      </c>
      <c r="B173" t="s">
        <v>154</v>
      </c>
      <c r="C173" s="19" t="s">
        <v>272</v>
      </c>
      <c r="D173">
        <v>175</v>
      </c>
      <c r="E173">
        <v>167.60785772647321</v>
      </c>
      <c r="F173">
        <v>168.21306700596659</v>
      </c>
      <c r="G173">
        <v>168.21306700596651</v>
      </c>
      <c r="H173">
        <v>106.3156075613127</v>
      </c>
      <c r="I173">
        <v>106.3156075613127</v>
      </c>
    </row>
    <row r="174" spans="1:9" x14ac:dyDescent="0.25">
      <c r="A174" t="s">
        <v>192</v>
      </c>
      <c r="B174" t="s">
        <v>154</v>
      </c>
      <c r="C174" s="19" t="s">
        <v>273</v>
      </c>
      <c r="D174">
        <v>202</v>
      </c>
      <c r="E174">
        <v>167.9779613956438</v>
      </c>
      <c r="F174">
        <v>162.89862717028379</v>
      </c>
      <c r="G174">
        <v>165.19413582407569</v>
      </c>
      <c r="H174">
        <v>5.5926379351943014</v>
      </c>
      <c r="I174">
        <v>27.342372885377099</v>
      </c>
    </row>
    <row r="175" spans="1:9" x14ac:dyDescent="0.25">
      <c r="A175" t="s">
        <v>192</v>
      </c>
      <c r="B175" t="s">
        <v>154</v>
      </c>
      <c r="C175" s="19" t="s">
        <v>206</v>
      </c>
      <c r="D175">
        <v>231</v>
      </c>
      <c r="E175">
        <v>246.5331546012336</v>
      </c>
      <c r="F175">
        <v>239.0841925144361</v>
      </c>
      <c r="G175">
        <v>240.35377909199971</v>
      </c>
      <c r="H175">
        <v>52.120146007769542</v>
      </c>
      <c r="I175">
        <v>74.079977968542067</v>
      </c>
    </row>
    <row r="176" spans="1:9" x14ac:dyDescent="0.25">
      <c r="A176" t="s">
        <v>192</v>
      </c>
      <c r="B176" t="s">
        <v>174</v>
      </c>
      <c r="C176" t="s">
        <v>304</v>
      </c>
      <c r="D176">
        <v>297</v>
      </c>
      <c r="E176">
        <v>265.92997601207259</v>
      </c>
      <c r="F176">
        <v>254.0746369921944</v>
      </c>
      <c r="G176">
        <v>261.26140163437532</v>
      </c>
      <c r="H176">
        <v>81.117906449519765</v>
      </c>
      <c r="I176">
        <v>100.4932224980255</v>
      </c>
    </row>
    <row r="177" spans="1:9" x14ac:dyDescent="0.25">
      <c r="A177" t="s">
        <v>192</v>
      </c>
      <c r="B177" t="s">
        <v>174</v>
      </c>
      <c r="C177" t="s">
        <v>305</v>
      </c>
      <c r="D177">
        <v>270</v>
      </c>
      <c r="E177">
        <v>251.7689953207551</v>
      </c>
      <c r="F177">
        <v>252.21322077642029</v>
      </c>
      <c r="G177">
        <v>252.68450864899731</v>
      </c>
      <c r="H177">
        <v>118.31037024777351</v>
      </c>
      <c r="I177">
        <v>121.35173860504059</v>
      </c>
    </row>
  </sheetData>
  <autoFilter ref="A1:I177">
    <sortState ref="A2:I177">
      <sortCondition ref="A1:A177"/>
    </sortState>
  </autoFilter>
  <hyperlinks>
    <hyperlink ref="C92" r:id="rId1" display="АС12"/>
    <hyperlink ref="C93" r:id="rId2" display="АС4"/>
    <hyperlink ref="C94" r:id="rId3" display="АС6"/>
    <hyperlink ref="C95" r:id="rId4" display="АС8"/>
    <hyperlink ref="C96" r:id="rId5" display="АС9"/>
    <hyperlink ref="C97" r:id="rId6" display="БС0"/>
    <hyperlink ref="C98" r:id="rId7" display="БС1"/>
    <hyperlink ref="C99" r:id="rId8" display="БС10/0-1"/>
    <hyperlink ref="C100" r:id="rId9" display="БС10/2"/>
    <hyperlink ref="C101" r:id="rId10" display="БС11"/>
    <hyperlink ref="C102" r:id="rId11" display="БС5-6"/>
    <hyperlink ref="C103" r:id="rId12" display="БС7"/>
    <hyperlink ref="C104" r:id="rId13" display="БС8"/>
    <hyperlink ref="C105" r:id="rId14" display="ПК14"/>
    <hyperlink ref="C125" r:id="rId15" display="1БС10"/>
    <hyperlink ref="C126" r:id="rId16" display="2БС10"/>
    <hyperlink ref="C127" r:id="rId17" display="БС0"/>
    <hyperlink ref="C128" r:id="rId18" display="БС1"/>
    <hyperlink ref="C129" r:id="rId19" display="БС11"/>
    <hyperlink ref="C130" r:id="rId20" display="БС17(БС17-18)"/>
    <hyperlink ref="C131" r:id="rId21" display="БС5"/>
    <hyperlink ref="C132" r:id="rId22" display="БС7"/>
    <hyperlink ref="C133" r:id="rId23" display="БС8"/>
    <hyperlink ref="C134" r:id="rId24" display="БС9/1"/>
    <hyperlink ref="C135" r:id="rId25"/>
    <hyperlink ref="C84" r:id="rId26"/>
    <hyperlink ref="C85" r:id="rId27" display="БС9/1"/>
    <hyperlink ref="C89" r:id="rId28" display="2БС10"/>
    <hyperlink ref="C90" r:id="rId29" display="БС11"/>
    <hyperlink ref="C140" r:id="rId30" display="2БС11"/>
    <hyperlink ref="C141" r:id="rId31" display="БС10"/>
    <hyperlink ref="C115" r:id="rId32" display="2БС11"/>
    <hyperlink ref="C116" r:id="rId33" display="БС12"/>
    <hyperlink ref="C117" r:id="rId34" display="БС6"/>
    <hyperlink ref="C118" r:id="rId35" display="БС7"/>
    <hyperlink ref="C119" r:id="rId36" display="БС8"/>
    <hyperlink ref="C120" r:id="rId37" display="БС8/2"/>
    <hyperlink ref="C121" r:id="rId38" display="БС9"/>
    <hyperlink ref="C122" r:id="rId39" display="ЮС1"/>
    <hyperlink ref="C143" r:id="rId40" display="АВ10-11"/>
    <hyperlink ref="C144" r:id="rId41" display="АВ3"/>
    <hyperlink ref="C145" r:id="rId42" display="АВ3-1"/>
    <hyperlink ref="C146" r:id="rId43" display="АВ6"/>
    <hyperlink ref="C147" r:id="rId44" display="АВ7"/>
    <hyperlink ref="C148" r:id="rId45" display="АВ8"/>
    <hyperlink ref="C149" r:id="rId46" display="АВ9"/>
    <hyperlink ref="C150" r:id="rId47" display="БВ1"/>
    <hyperlink ref="C151" r:id="rId48" display="БВ2"/>
    <hyperlink ref="C152" r:id="rId49" display="БВ4-1"/>
    <hyperlink ref="C153" r:id="rId50" display="БВ5"/>
    <hyperlink ref="C154" r:id="rId51" display="БВ6"/>
    <hyperlink ref="C155" r:id="rId52" display="ПК20"/>
    <hyperlink ref="C156" r:id="rId53" display="ЮВ1-1"/>
    <hyperlink ref="C157" r:id="rId54" display="ЮВ2"/>
    <hyperlink ref="C137" r:id="rId55" display="БС11"/>
    <hyperlink ref="C138" r:id="rId56" display="БС17-1"/>
    <hyperlink ref="C173" r:id="rId57" display="АВ2"/>
    <hyperlink ref="C174" r:id="rId58" display="АВ7"/>
    <hyperlink ref="C175" r:id="rId59" display="ЮВ1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D23" sqref="D23"/>
    </sheetView>
  </sheetViews>
  <sheetFormatPr defaultRowHeight="15" x14ac:dyDescent="0.25"/>
  <cols>
    <col min="1" max="1" width="23.140625" bestFit="1" customWidth="1"/>
    <col min="2" max="2" width="43.140625" customWidth="1"/>
    <col min="3" max="3" width="23.140625" bestFit="1" customWidth="1"/>
    <col min="4" max="4" width="23.140625" customWidth="1"/>
    <col min="5" max="5" width="14.42578125" bestFit="1" customWidth="1"/>
    <col min="6" max="6" width="14.42578125" customWidth="1"/>
    <col min="7" max="7" width="17" bestFit="1" customWidth="1"/>
    <col min="8" max="8" width="17" customWidth="1"/>
    <col min="9" max="9" width="23.140625" bestFit="1" customWidth="1"/>
    <col min="10" max="10" width="23.140625" customWidth="1"/>
    <col min="11" max="11" width="19.7109375" bestFit="1" customWidth="1"/>
    <col min="12" max="12" width="13.28515625" bestFit="1" customWidth="1"/>
  </cols>
  <sheetData>
    <row r="1" spans="1:12" x14ac:dyDescent="0.25">
      <c r="A1" s="1" t="s">
        <v>0</v>
      </c>
      <c r="B1" s="1" t="s">
        <v>147</v>
      </c>
      <c r="C1" s="2" t="s">
        <v>317</v>
      </c>
      <c r="D1" s="2" t="s">
        <v>330</v>
      </c>
      <c r="E1" s="2" t="s">
        <v>323</v>
      </c>
      <c r="F1" s="2" t="s">
        <v>330</v>
      </c>
      <c r="G1" s="2" t="s">
        <v>325</v>
      </c>
      <c r="H1" s="2" t="s">
        <v>330</v>
      </c>
      <c r="I1" s="2" t="s">
        <v>328</v>
      </c>
      <c r="J1" s="2" t="s">
        <v>330</v>
      </c>
      <c r="K1" s="2" t="s">
        <v>329</v>
      </c>
      <c r="L1" s="2" t="s">
        <v>330</v>
      </c>
    </row>
    <row r="2" spans="1:12" x14ac:dyDescent="0.25">
      <c r="A2" s="22" t="s">
        <v>148</v>
      </c>
      <c r="B2" s="7" t="s">
        <v>149</v>
      </c>
      <c r="C2" s="27" t="s">
        <v>322</v>
      </c>
      <c r="E2" t="s">
        <v>324</v>
      </c>
      <c r="G2" s="27" t="s">
        <v>327</v>
      </c>
      <c r="I2" t="s">
        <v>322</v>
      </c>
      <c r="K2" t="s">
        <v>324</v>
      </c>
    </row>
    <row r="3" spans="1:12" x14ac:dyDescent="0.25">
      <c r="A3" s="22" t="s">
        <v>154</v>
      </c>
      <c r="B3" s="7" t="s">
        <v>155</v>
      </c>
      <c r="C3" s="27" t="s">
        <v>322</v>
      </c>
      <c r="E3" t="s">
        <v>324</v>
      </c>
      <c r="G3" s="27" t="s">
        <v>327</v>
      </c>
      <c r="I3" t="s">
        <v>322</v>
      </c>
      <c r="K3" t="s">
        <v>324</v>
      </c>
    </row>
    <row r="4" spans="1:12" x14ac:dyDescent="0.25">
      <c r="A4" s="22" t="s">
        <v>159</v>
      </c>
      <c r="B4" s="7" t="s">
        <v>160</v>
      </c>
      <c r="C4" s="27" t="s">
        <v>322</v>
      </c>
      <c r="E4" t="s">
        <v>324</v>
      </c>
      <c r="G4" s="27" t="s">
        <v>327</v>
      </c>
      <c r="I4" t="s">
        <v>322</v>
      </c>
      <c r="K4" t="s">
        <v>324</v>
      </c>
    </row>
    <row r="5" spans="1:12" x14ac:dyDescent="0.25">
      <c r="A5" s="22" t="s">
        <v>164</v>
      </c>
      <c r="B5" s="7" t="s">
        <v>165</v>
      </c>
      <c r="C5" s="27" t="s">
        <v>322</v>
      </c>
      <c r="E5" t="s">
        <v>324</v>
      </c>
      <c r="G5" s="27" t="s">
        <v>327</v>
      </c>
      <c r="I5" t="s">
        <v>322</v>
      </c>
      <c r="K5" t="s">
        <v>324</v>
      </c>
    </row>
    <row r="6" spans="1:12" x14ac:dyDescent="0.25">
      <c r="A6" s="22" t="s">
        <v>169</v>
      </c>
      <c r="B6" s="7" t="s">
        <v>170</v>
      </c>
      <c r="C6" s="27" t="s">
        <v>326</v>
      </c>
      <c r="E6" t="s">
        <v>324</v>
      </c>
      <c r="G6" s="27" t="s">
        <v>326</v>
      </c>
      <c r="I6" s="27" t="s">
        <v>326</v>
      </c>
      <c r="K6" t="s">
        <v>324</v>
      </c>
    </row>
    <row r="7" spans="1:12" x14ac:dyDescent="0.25">
      <c r="A7" s="22" t="s">
        <v>174</v>
      </c>
      <c r="B7" s="7" t="s">
        <v>175</v>
      </c>
      <c r="C7" s="27" t="s">
        <v>326</v>
      </c>
      <c r="E7" t="s">
        <v>324</v>
      </c>
      <c r="G7" s="27" t="s">
        <v>326</v>
      </c>
      <c r="I7" s="27" t="s">
        <v>326</v>
      </c>
      <c r="K7" t="s">
        <v>324</v>
      </c>
    </row>
    <row r="8" spans="1:12" x14ac:dyDescent="0.25">
      <c r="A8" s="22" t="s">
        <v>318</v>
      </c>
      <c r="C8" s="27" t="s">
        <v>322</v>
      </c>
      <c r="E8" t="s">
        <v>324</v>
      </c>
      <c r="G8" s="27" t="s">
        <v>327</v>
      </c>
      <c r="I8" t="s">
        <v>322</v>
      </c>
      <c r="K8" t="s">
        <v>324</v>
      </c>
    </row>
    <row r="9" spans="1:12" x14ac:dyDescent="0.25">
      <c r="A9" s="22" t="s">
        <v>319</v>
      </c>
      <c r="C9" s="27" t="s">
        <v>322</v>
      </c>
      <c r="E9" t="s">
        <v>324</v>
      </c>
      <c r="G9" s="27" t="s">
        <v>327</v>
      </c>
      <c r="I9" t="s">
        <v>322</v>
      </c>
      <c r="K9" t="s">
        <v>324</v>
      </c>
    </row>
    <row r="10" spans="1:12" x14ac:dyDescent="0.25">
      <c r="A10" s="22" t="s">
        <v>320</v>
      </c>
      <c r="C10" s="27" t="s">
        <v>322</v>
      </c>
      <c r="E10" t="s">
        <v>324</v>
      </c>
      <c r="G10" s="27" t="s">
        <v>327</v>
      </c>
      <c r="I10" t="s">
        <v>322</v>
      </c>
      <c r="K10" t="s">
        <v>324</v>
      </c>
    </row>
    <row r="11" spans="1:12" x14ac:dyDescent="0.25">
      <c r="A11" s="22" t="s">
        <v>321</v>
      </c>
      <c r="C11" s="27" t="s">
        <v>322</v>
      </c>
      <c r="E11" t="s">
        <v>324</v>
      </c>
      <c r="G11" s="27" t="s">
        <v>327</v>
      </c>
      <c r="I11" t="s">
        <v>322</v>
      </c>
      <c r="K11" t="s">
        <v>324</v>
      </c>
    </row>
    <row r="13" spans="1:12" x14ac:dyDescent="0.25">
      <c r="A13" s="28" t="s">
        <v>332</v>
      </c>
    </row>
    <row r="14" spans="1:12" x14ac:dyDescent="0.25">
      <c r="A14" s="7" t="s">
        <v>331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A14" r:id="rId7" display="https://myfunction.gazprom-neft.local/dos/documents/97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ННГ</vt:lpstr>
      <vt:lpstr>СН-МНГ</vt:lpstr>
      <vt:lpstr>Свод Рпл</vt:lpstr>
      <vt:lpstr>Свод моделей Мегион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</dc:creator>
  <cp:lastModifiedBy>Муратов Искандер Фанилевич</cp:lastModifiedBy>
  <cp:revision>3</cp:revision>
  <dcterms:created xsi:type="dcterms:W3CDTF">2015-06-05T18:19:34Z</dcterms:created>
  <dcterms:modified xsi:type="dcterms:W3CDTF">2026-08-14T08:01:06Z</dcterms:modified>
</cp:coreProperties>
</file>